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19420" windowHeight="10300" activeTab="0"/>
  </bookViews>
  <sheets>
    <sheet name="勤務形態一覧表（児童発達支援・主として重症心身障害児）" sheetId="1" r:id="rId1"/>
    <sheet name="選択肢" sheetId="2" r:id="rId2"/>
  </sheets>
  <definedNames>
    <definedName name="_xlnm.Print_Area" localSheetId="0">'勤務形態一覧表（児童発達支援・主として重症心身障害児）'!$A$1:$AN$74</definedName>
    <definedName name="医療型障害児入所施設">選択肢!$B$32:$K$32</definedName>
    <definedName name="一般相談支援事業">選択肢!$B$22:$K$22</definedName>
    <definedName name="機能訓練">選択肢!$B$16:$J$16</definedName>
    <definedName name="居宅介護">選択肢!$B$2:$K$2</definedName>
    <definedName name="居宅介護・重度訪問介護・同行援護・行動援護">選択肢!$B$2:$J$2</definedName>
    <definedName name="居宅訪問型児童発達支援">選択肢!$B$30:$K$30</definedName>
    <definedName name="共同生活援助">選択肢!$B$12:$K$12</definedName>
    <definedName name="共同生活援助・介護サービス包括型">選択肢!$B$12:$K$12</definedName>
    <definedName name="共同生活援助・外部サービス利用型">選択肢!$B$13:$K$13</definedName>
    <definedName name="共同生活援助・日中サービス支援型">選択肢!$B$14:$K$14</definedName>
    <definedName name="行動援護">選択肢!$B$5:$K$5</definedName>
    <definedName name="児童発達支援・児童発達支援センターであるもの">選択肢!$B$28:$L$28</definedName>
    <definedName name="児童発達支援・主として重症心身障害児を対象とする場合">選択肢!$B$27:$K$27</definedName>
    <definedName name="児童発達支援・放課後等デイサービス">選択肢!$B$26:$K$26</definedName>
    <definedName name="自立生活援助">選択肢!$B$24:$K$24</definedName>
    <definedName name="就労移行支援">選択肢!$B$19:$K$19</definedName>
    <definedName name="就労継続支援Ａ型">選択肢!$B$21:$K$21</definedName>
    <definedName name="就労継続支援Ａ型・B型">選択肢!$B$21:$K$21</definedName>
    <definedName name="就労継続支援Ｂ型">選択肢!$B$21:$K$21</definedName>
    <definedName name="就労選択支援">選択肢!$B$18:$K$18</definedName>
    <definedName name="就労定着支援">選択肢!$B$23:$K$23</definedName>
    <definedName name="重度障害者等包括支援">選択肢!$B$11:$K$11</definedName>
    <definedName name="重度訪問介護">選択肢!$B$3:$K$3</definedName>
    <definedName name="障害者支援施設">選択肢!$B$15:$L$15</definedName>
    <definedName name="生活介護">選択肢!$B$7:$K$7</definedName>
    <definedName name="生活訓練">選択肢!$B$17:$K$17</definedName>
    <definedName name="短期入所・空床利用型">選択肢!$B$9:$K$9</definedName>
    <definedName name="短期入所・単独型">選択肢!$B$10:$K$10</definedName>
    <definedName name="短期入所・併設型">選択肢!$B$8:$K$8</definedName>
    <definedName name="同行援護">選択肢!$B$4:$K$4</definedName>
    <definedName name="特定相談支援・障害児相談支援">選択肢!$B$25:$K$25</definedName>
    <definedName name="認定指定就労移行支援">選択肢!$B$20:$K$20</definedName>
    <definedName name="福祉型障害児入所施設">選択肢!$B$31:$K$31</definedName>
    <definedName name="保育所等訪問支援">選択肢!$B$29:$K$29</definedName>
    <definedName name="療養介護">選択肢!$B$6:$K$6</definedName>
  </definedNames>
  <calcPr calcId="191028"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<sst xmlns="http://schemas.openxmlformats.org/spreadsheetml/2006/main" count="3629" uniqueCount="374">
  <si>
    <t>付表３－２　一体的に実施する従たる事業所の指定に係る記載事項</t>
    <rPh sb="0" eb="2">
      <t>フヒョウ</t>
    </rPh>
    <rPh sb="6" eb="9">
      <t>イッタイテキ</t>
    </rPh>
    <rPh sb="10" eb="12">
      <t>ジッシ</t>
    </rPh>
    <rPh sb="14" eb="15">
      <t>ジュウ</t>
    </rPh>
    <rPh sb="17" eb="20">
      <t>ジギョウショ</t>
    </rPh>
    <rPh sb="21" eb="23">
      <t>シテイ</t>
    </rPh>
    <rPh sb="24" eb="25">
      <t>カカ</t>
    </rPh>
    <rPh sb="26" eb="28">
      <t>キサイ</t>
    </rPh>
    <rPh sb="28" eb="30">
      <t>ジコウ</t>
    </rPh>
    <phoneticPr fontId="8"/>
  </si>
  <si>
    <t>※多機能型事業実施時は、各事業の付表と付表１３を併せて提出してください。</t>
    <rPh sb="1" eb="4">
      <t>タキノウ</t>
    </rPh>
    <rPh sb="4" eb="5">
      <t>ガタ</t>
    </rPh>
    <rPh sb="5" eb="7">
      <t>ジギョウ</t>
    </rPh>
    <rPh sb="7" eb="10">
      <t>ジッシジ</t>
    </rPh>
    <rPh sb="12" eb="15">
      <t>カクジギョウ</t>
    </rPh>
    <rPh sb="16" eb="18">
      <t>フヒョウ</t>
    </rPh>
    <rPh sb="19" eb="21">
      <t>フヒョウ</t>
    </rPh>
    <rPh sb="24" eb="25">
      <t>アワ</t>
    </rPh>
    <rPh sb="27" eb="29">
      <t>テイシュツ</t>
    </rPh>
    <phoneticPr fontId="8"/>
  </si>
  <si>
    <t>受付番号</t>
    <rPh sb="0" eb="2">
      <t>ウケツケ</t>
    </rPh>
    <rPh sb="2" eb="4">
      <t>バンゴウ</t>
    </rPh>
    <phoneticPr fontId="8"/>
  </si>
  <si>
    <t>フリガナ</t>
    <phoneticPr fontId="8"/>
  </si>
  <si>
    <t>施</t>
    <rPh sb="0" eb="1">
      <t>ホドコ</t>
    </rPh>
    <phoneticPr fontId="8"/>
  </si>
  <si>
    <t>名　　称</t>
    <rPh sb="0" eb="1">
      <t>メイ</t>
    </rPh>
    <rPh sb="3" eb="4">
      <t>ショウ</t>
    </rPh>
    <phoneticPr fontId="8"/>
  </si>
  <si>
    <t>所在地</t>
    <rPh sb="0" eb="3">
      <t>ショザイチ</t>
    </rPh>
    <phoneticPr fontId="8"/>
  </si>
  <si>
    <t>（郵便番号　　　　　－　　　　　）</t>
    <rPh sb="1" eb="3">
      <t>ユウビン</t>
    </rPh>
    <rPh sb="3" eb="5">
      <t>バンゴウ</t>
    </rPh>
    <phoneticPr fontId="8"/>
  </si>
  <si>
    <t>設</t>
    <rPh sb="0" eb="1">
      <t>セツ</t>
    </rPh>
    <phoneticPr fontId="8"/>
  </si>
  <si>
    <t>県</t>
    <rPh sb="0" eb="1">
      <t>ケン</t>
    </rPh>
    <phoneticPr fontId="8"/>
  </si>
  <si>
    <t>郡・市</t>
    <rPh sb="0" eb="1">
      <t>グン</t>
    </rPh>
    <rPh sb="2" eb="3">
      <t>シ</t>
    </rPh>
    <phoneticPr fontId="8"/>
  </si>
  <si>
    <t>連 絡 先</t>
    <rPh sb="0" eb="1">
      <t>レン</t>
    </rPh>
    <rPh sb="2" eb="3">
      <t>ラク</t>
    </rPh>
    <rPh sb="4" eb="5">
      <t>サキ</t>
    </rPh>
    <phoneticPr fontId="8"/>
  </si>
  <si>
    <t>電話番号</t>
    <rPh sb="0" eb="2">
      <t>デンワ</t>
    </rPh>
    <rPh sb="2" eb="4">
      <t>バンゴウ</t>
    </rPh>
    <phoneticPr fontId="8"/>
  </si>
  <si>
    <t>ＦＡＸ番号</t>
    <rPh sb="3" eb="5">
      <t>バンゴウ</t>
    </rPh>
    <phoneticPr fontId="8"/>
  </si>
  <si>
    <t>実施主体が地方公共団体である場合は、当該事業の実施について定めてある条例等</t>
    <rPh sb="18" eb="20">
      <t>トウガイ</t>
    </rPh>
    <rPh sb="20" eb="22">
      <t>ジギョウ</t>
    </rPh>
    <rPh sb="23" eb="25">
      <t>ジッシ</t>
    </rPh>
    <rPh sb="29" eb="30">
      <t>サダ</t>
    </rPh>
    <rPh sb="34" eb="36">
      <t>ジョウレイ</t>
    </rPh>
    <rPh sb="36" eb="37">
      <t>トウ</t>
    </rPh>
    <phoneticPr fontId="8"/>
  </si>
  <si>
    <t>第　　条第　　項第　　号</t>
    <rPh sb="0" eb="1">
      <t>ダイ</t>
    </rPh>
    <rPh sb="3" eb="4">
      <t>ジョウ</t>
    </rPh>
    <rPh sb="4" eb="5">
      <t>ダイ</t>
    </rPh>
    <rPh sb="7" eb="8">
      <t>コウ</t>
    </rPh>
    <rPh sb="8" eb="9">
      <t>ダイ</t>
    </rPh>
    <rPh sb="11" eb="12">
      <t>ゴウ</t>
    </rPh>
    <phoneticPr fontId="8"/>
  </si>
  <si>
    <t>サービス</t>
    <phoneticPr fontId="8"/>
  </si>
  <si>
    <t>住 所</t>
    <rPh sb="0" eb="1">
      <t>ジュウ</t>
    </rPh>
    <rPh sb="2" eb="3">
      <t>トコロ</t>
    </rPh>
    <phoneticPr fontId="8"/>
  </si>
  <si>
    <t>（郵便番号　　　　　－　　　　　）</t>
  </si>
  <si>
    <t>管理責任者</t>
    <rPh sb="0" eb="2">
      <t>カンリ</t>
    </rPh>
    <rPh sb="2" eb="5">
      <t>セキニンシャ</t>
    </rPh>
    <phoneticPr fontId="8"/>
  </si>
  <si>
    <t>氏　名</t>
    <rPh sb="0" eb="1">
      <t>シ</t>
    </rPh>
    <rPh sb="2" eb="3">
      <t>メイ</t>
    </rPh>
    <phoneticPr fontId="8"/>
  </si>
  <si>
    <t>従業者の職種・員数</t>
    <rPh sb="0" eb="3">
      <t>ジュウギョウシャ</t>
    </rPh>
    <rPh sb="4" eb="6">
      <t>ショクシュ</t>
    </rPh>
    <rPh sb="7" eb="9">
      <t>インズウ</t>
    </rPh>
    <phoneticPr fontId="8"/>
  </si>
  <si>
    <t>医　師</t>
    <rPh sb="0" eb="1">
      <t>イ</t>
    </rPh>
    <rPh sb="2" eb="3">
      <t>シ</t>
    </rPh>
    <phoneticPr fontId="8"/>
  </si>
  <si>
    <t>サービス管理責任者</t>
    <rPh sb="4" eb="6">
      <t>カンリ</t>
    </rPh>
    <rPh sb="6" eb="9">
      <t>セキニンシャ</t>
    </rPh>
    <phoneticPr fontId="8"/>
  </si>
  <si>
    <t>看護職員</t>
    <rPh sb="0" eb="2">
      <t>カンゴ</t>
    </rPh>
    <rPh sb="2" eb="4">
      <t>ショクイン</t>
    </rPh>
    <phoneticPr fontId="8"/>
  </si>
  <si>
    <t>理学療法士</t>
    <rPh sb="0" eb="2">
      <t>リガク</t>
    </rPh>
    <rPh sb="2" eb="5">
      <t>リョウホウシ</t>
    </rPh>
    <phoneticPr fontId="8"/>
  </si>
  <si>
    <t>作業療法士</t>
    <rPh sb="0" eb="2">
      <t>サギョウ</t>
    </rPh>
    <rPh sb="2" eb="5">
      <t>リョウホウシ</t>
    </rPh>
    <phoneticPr fontId="8"/>
  </si>
  <si>
    <t>専従</t>
    <rPh sb="0" eb="2">
      <t>センジュウ</t>
    </rPh>
    <phoneticPr fontId="8"/>
  </si>
  <si>
    <t>※兼務</t>
    <rPh sb="1" eb="3">
      <t>ケンム</t>
    </rPh>
    <phoneticPr fontId="8"/>
  </si>
  <si>
    <t>従業者数</t>
    <rPh sb="0" eb="2">
      <t>ジュウギョウ</t>
    </rPh>
    <rPh sb="2" eb="3">
      <t>シャ</t>
    </rPh>
    <rPh sb="3" eb="4">
      <t>カズ</t>
    </rPh>
    <phoneticPr fontId="8"/>
  </si>
  <si>
    <t>常勤（人）</t>
    <rPh sb="0" eb="2">
      <t>ジョウキン</t>
    </rPh>
    <rPh sb="3" eb="4">
      <t>ヒト</t>
    </rPh>
    <phoneticPr fontId="8"/>
  </si>
  <si>
    <t>非常勤（人）</t>
    <rPh sb="0" eb="3">
      <t>ヒジョウキン</t>
    </rPh>
    <rPh sb="4" eb="5">
      <t>ヒト</t>
    </rPh>
    <phoneticPr fontId="8"/>
  </si>
  <si>
    <t>常勤換算後の人数（人）</t>
    <rPh sb="0" eb="2">
      <t>ジョウキン</t>
    </rPh>
    <rPh sb="2" eb="4">
      <t>カンザン</t>
    </rPh>
    <rPh sb="4" eb="5">
      <t>ゴ</t>
    </rPh>
    <rPh sb="6" eb="8">
      <t>ニンズウ</t>
    </rPh>
    <rPh sb="9" eb="10">
      <t>ニン</t>
    </rPh>
    <phoneticPr fontId="8"/>
  </si>
  <si>
    <t>基準上の必要人数（人）</t>
    <rPh sb="0" eb="2">
      <t>キジュン</t>
    </rPh>
    <rPh sb="2" eb="3">
      <t>ジョウ</t>
    </rPh>
    <rPh sb="4" eb="6">
      <t>ヒツヨウ</t>
    </rPh>
    <rPh sb="6" eb="8">
      <t>ニンズウ</t>
    </rPh>
    <rPh sb="9" eb="10">
      <t>ニン</t>
    </rPh>
    <phoneticPr fontId="8"/>
  </si>
  <si>
    <t>機能訓練指導員</t>
    <rPh sb="0" eb="2">
      <t>キノウ</t>
    </rPh>
    <rPh sb="2" eb="4">
      <t>クンレン</t>
    </rPh>
    <rPh sb="4" eb="7">
      <t>シドウイン</t>
    </rPh>
    <phoneticPr fontId="8"/>
  </si>
  <si>
    <t>生活支援員</t>
    <rPh sb="0" eb="2">
      <t>セイカツ</t>
    </rPh>
    <rPh sb="2" eb="5">
      <t>シエンイン</t>
    </rPh>
    <phoneticPr fontId="8"/>
  </si>
  <si>
    <t>精神保健福祉士</t>
    <rPh sb="0" eb="2">
      <t>セイシン</t>
    </rPh>
    <rPh sb="2" eb="4">
      <t>ホケン</t>
    </rPh>
    <rPh sb="4" eb="7">
      <t>フクシシ</t>
    </rPh>
    <phoneticPr fontId="8"/>
  </si>
  <si>
    <t>その他の従業者</t>
    <rPh sb="2" eb="3">
      <t>タ</t>
    </rPh>
    <rPh sb="4" eb="7">
      <t>ジュウギョウシャ</t>
    </rPh>
    <phoneticPr fontId="8"/>
  </si>
  <si>
    <t>前年度の平均
実利用者数（人）</t>
    <phoneticPr fontId="8"/>
  </si>
  <si>
    <t>施設が申告する障害程度区分の平均値</t>
    <rPh sb="0" eb="2">
      <t>シセツ</t>
    </rPh>
    <rPh sb="3" eb="5">
      <t>シンコク</t>
    </rPh>
    <rPh sb="7" eb="9">
      <t>ショウガイ</t>
    </rPh>
    <rPh sb="9" eb="11">
      <t>テイド</t>
    </rPh>
    <rPh sb="11" eb="13">
      <t>クブン</t>
    </rPh>
    <rPh sb="14" eb="17">
      <t>ヘイキンチ</t>
    </rPh>
    <phoneticPr fontId="8"/>
  </si>
  <si>
    <t>サービス単位</t>
    <rPh sb="4" eb="6">
      <t>タンイ</t>
    </rPh>
    <phoneticPr fontId="8"/>
  </si>
  <si>
    <t>４未満</t>
    <rPh sb="1" eb="3">
      <t>ミマン</t>
    </rPh>
    <phoneticPr fontId="8"/>
  </si>
  <si>
    <t>４以上５未満</t>
    <rPh sb="1" eb="3">
      <t>イジョウ</t>
    </rPh>
    <rPh sb="4" eb="6">
      <t>ミマン</t>
    </rPh>
    <phoneticPr fontId="8"/>
  </si>
  <si>
    <t>５以上</t>
    <rPh sb="1" eb="3">
      <t>イジョウ</t>
    </rPh>
    <phoneticPr fontId="8"/>
  </si>
  <si>
    <t>サービス単位１</t>
    <rPh sb="4" eb="6">
      <t>タンイ</t>
    </rPh>
    <phoneticPr fontId="8"/>
  </si>
  <si>
    <t>サービス単位２</t>
    <rPh sb="4" eb="6">
      <t>タンイ</t>
    </rPh>
    <phoneticPr fontId="8"/>
  </si>
  <si>
    <t>サービス単位３</t>
    <rPh sb="4" eb="6">
      <t>タンイ</t>
    </rPh>
    <phoneticPr fontId="8"/>
  </si>
  <si>
    <t>主な掲示事項</t>
    <rPh sb="0" eb="1">
      <t>オモ</t>
    </rPh>
    <rPh sb="2" eb="4">
      <t>ケイジ</t>
    </rPh>
    <rPh sb="4" eb="6">
      <t>ジコウ</t>
    </rPh>
    <phoneticPr fontId="8"/>
  </si>
  <si>
    <t>営業日</t>
    <rPh sb="0" eb="3">
      <t>エイギョウビ</t>
    </rPh>
    <phoneticPr fontId="8"/>
  </si>
  <si>
    <t>単位ごとの営業日</t>
    <phoneticPr fontId="8"/>
  </si>
  <si>
    <t>営業時間</t>
    <rPh sb="0" eb="2">
      <t>エイギョウ</t>
    </rPh>
    <rPh sb="2" eb="4">
      <t>ジカン</t>
    </rPh>
    <phoneticPr fontId="8"/>
  </si>
  <si>
    <t>単位ごとのサービス提供時間（送迎時間を除く）（①　　：　　～　　：　　②　　：　　～　　：　　）</t>
    <phoneticPr fontId="8"/>
  </si>
  <si>
    <t>主たる対象者</t>
    <rPh sb="0" eb="1">
      <t>シュ</t>
    </rPh>
    <rPh sb="3" eb="6">
      <t>タイショウシャ</t>
    </rPh>
    <phoneticPr fontId="8"/>
  </si>
  <si>
    <t>特定無し</t>
    <rPh sb="0" eb="2">
      <t>トクテイ</t>
    </rPh>
    <rPh sb="2" eb="3">
      <t>ム</t>
    </rPh>
    <phoneticPr fontId="8"/>
  </si>
  <si>
    <t>身体障害者</t>
    <rPh sb="0" eb="2">
      <t>シンタイ</t>
    </rPh>
    <rPh sb="2" eb="4">
      <t>ショウガイ</t>
    </rPh>
    <rPh sb="4" eb="5">
      <t>シャ</t>
    </rPh>
    <phoneticPr fontId="8"/>
  </si>
  <si>
    <t>細分無し</t>
    <rPh sb="0" eb="2">
      <t>サイブン</t>
    </rPh>
    <rPh sb="2" eb="3">
      <t>ナ</t>
    </rPh>
    <phoneticPr fontId="8"/>
  </si>
  <si>
    <t>肢体不自由</t>
    <rPh sb="0" eb="2">
      <t>シタイ</t>
    </rPh>
    <rPh sb="2" eb="5">
      <t>フジユウ</t>
    </rPh>
    <phoneticPr fontId="8"/>
  </si>
  <si>
    <t>視覚障害</t>
    <rPh sb="0" eb="2">
      <t>シカク</t>
    </rPh>
    <rPh sb="2" eb="4">
      <t>ショウガイ</t>
    </rPh>
    <phoneticPr fontId="8"/>
  </si>
  <si>
    <t>聴覚・言語</t>
    <rPh sb="0" eb="2">
      <t>チョウカク</t>
    </rPh>
    <rPh sb="3" eb="5">
      <t>ゲンゴ</t>
    </rPh>
    <phoneticPr fontId="8"/>
  </si>
  <si>
    <t>内部障害</t>
    <rPh sb="0" eb="2">
      <t>ナイブ</t>
    </rPh>
    <rPh sb="2" eb="4">
      <t>ショウガイ</t>
    </rPh>
    <phoneticPr fontId="8"/>
  </si>
  <si>
    <t>知的障害者</t>
    <rPh sb="0" eb="2">
      <t>チテキ</t>
    </rPh>
    <rPh sb="2" eb="5">
      <t>ショウガイシャ</t>
    </rPh>
    <phoneticPr fontId="8"/>
  </si>
  <si>
    <t>精神障害者</t>
    <rPh sb="0" eb="2">
      <t>セイシン</t>
    </rPh>
    <rPh sb="2" eb="5">
      <t>ショウガイシャ</t>
    </rPh>
    <phoneticPr fontId="8"/>
  </si>
  <si>
    <t>難病等対象者</t>
    <rPh sb="0" eb="2">
      <t>ナンビョウ</t>
    </rPh>
    <rPh sb="2" eb="3">
      <t>トウ</t>
    </rPh>
    <rPh sb="3" eb="6">
      <t>タイショウシャ</t>
    </rPh>
    <phoneticPr fontId="8"/>
  </si>
  <si>
    <t>利用定員</t>
    <rPh sb="0" eb="2">
      <t>リヨウ</t>
    </rPh>
    <rPh sb="2" eb="4">
      <t>テイイン</t>
    </rPh>
    <phoneticPr fontId="8"/>
  </si>
  <si>
    <t>人（単位ごとの定員）（①　　　　　　　　②　　　　　　　　　）</t>
    <phoneticPr fontId="8"/>
  </si>
  <si>
    <t>基準上の必要定員</t>
    <rPh sb="0" eb="2">
      <t>キジュン</t>
    </rPh>
    <rPh sb="2" eb="3">
      <t>ジョウ</t>
    </rPh>
    <rPh sb="4" eb="6">
      <t>ヒツヨウ</t>
    </rPh>
    <rPh sb="6" eb="8">
      <t>テイイン</t>
    </rPh>
    <phoneticPr fontId="8"/>
  </si>
  <si>
    <t>多機能型実施の有無</t>
    <rPh sb="0" eb="3">
      <t>タキノウ</t>
    </rPh>
    <rPh sb="3" eb="4">
      <t>ガタ</t>
    </rPh>
    <rPh sb="4" eb="6">
      <t>ジッシ</t>
    </rPh>
    <rPh sb="7" eb="9">
      <t>ウム</t>
    </rPh>
    <phoneticPr fontId="8"/>
  </si>
  <si>
    <t>有　　・　　無</t>
    <rPh sb="0" eb="1">
      <t>ア</t>
    </rPh>
    <rPh sb="6" eb="7">
      <t>ナ</t>
    </rPh>
    <phoneticPr fontId="8"/>
  </si>
  <si>
    <t>利用料</t>
    <rPh sb="0" eb="3">
      <t>リヨウリョウ</t>
    </rPh>
    <phoneticPr fontId="8"/>
  </si>
  <si>
    <t>その他の費用</t>
    <rPh sb="2" eb="3">
      <t>タ</t>
    </rPh>
    <rPh sb="4" eb="6">
      <t>ヒヨウ</t>
    </rPh>
    <phoneticPr fontId="8"/>
  </si>
  <si>
    <t>その他参考となる事項</t>
    <rPh sb="2" eb="3">
      <t>タ</t>
    </rPh>
    <rPh sb="3" eb="5">
      <t>サンコウ</t>
    </rPh>
    <rPh sb="8" eb="10">
      <t>ジコウ</t>
    </rPh>
    <phoneticPr fontId="8"/>
  </si>
  <si>
    <t>第三者評価の実施状況</t>
    <rPh sb="0" eb="3">
      <t>ダイサンシャ</t>
    </rPh>
    <rPh sb="3" eb="5">
      <t>ヒョウカ</t>
    </rPh>
    <rPh sb="6" eb="8">
      <t>ジッシ</t>
    </rPh>
    <rPh sb="8" eb="10">
      <t>ジョウキョウ</t>
    </rPh>
    <phoneticPr fontId="8"/>
  </si>
  <si>
    <t>している　・　していない</t>
    <phoneticPr fontId="8"/>
  </si>
  <si>
    <t>苦情解決の措置概要</t>
    <rPh sb="0" eb="2">
      <t>クジョウ</t>
    </rPh>
    <rPh sb="2" eb="4">
      <t>カイケツ</t>
    </rPh>
    <rPh sb="5" eb="7">
      <t>ソチ</t>
    </rPh>
    <rPh sb="7" eb="9">
      <t>ガイヨウ</t>
    </rPh>
    <phoneticPr fontId="8"/>
  </si>
  <si>
    <t>窓口（連絡先）</t>
    <rPh sb="0" eb="2">
      <t>マドグチ</t>
    </rPh>
    <rPh sb="3" eb="6">
      <t>レンラクサキ</t>
    </rPh>
    <phoneticPr fontId="8"/>
  </si>
  <si>
    <t>担当者</t>
    <rPh sb="0" eb="3">
      <t>タントウシャ</t>
    </rPh>
    <phoneticPr fontId="8"/>
  </si>
  <si>
    <t>その他</t>
    <rPh sb="2" eb="3">
      <t>タ</t>
    </rPh>
    <phoneticPr fontId="8"/>
  </si>
  <si>
    <t>協力医療機関</t>
    <rPh sb="0" eb="2">
      <t>キョウリョク</t>
    </rPh>
    <rPh sb="2" eb="4">
      <t>イリョウ</t>
    </rPh>
    <rPh sb="4" eb="6">
      <t>キカン</t>
    </rPh>
    <phoneticPr fontId="8"/>
  </si>
  <si>
    <t>名　称</t>
    <rPh sb="0" eb="1">
      <t>メイ</t>
    </rPh>
    <rPh sb="2" eb="3">
      <t>ショウ</t>
    </rPh>
    <phoneticPr fontId="8"/>
  </si>
  <si>
    <t>主な診療科名</t>
    <rPh sb="0" eb="1">
      <t>オモ</t>
    </rPh>
    <rPh sb="2" eb="5">
      <t>シンリョウカ</t>
    </rPh>
    <rPh sb="5" eb="6">
      <t>メイ</t>
    </rPh>
    <phoneticPr fontId="8"/>
  </si>
  <si>
    <t>一体的に管理運営する
他の事業所</t>
    <rPh sb="0" eb="3">
      <t>イッタイテキ</t>
    </rPh>
    <rPh sb="4" eb="6">
      <t>カンリ</t>
    </rPh>
    <rPh sb="6" eb="8">
      <t>ウンエイ</t>
    </rPh>
    <rPh sb="11" eb="12">
      <t>タ</t>
    </rPh>
    <rPh sb="13" eb="16">
      <t>ジギョウショ</t>
    </rPh>
    <phoneticPr fontId="8"/>
  </si>
  <si>
    <t>添付書類</t>
    <rPh sb="0" eb="2">
      <t>テンプ</t>
    </rPh>
    <rPh sb="2" eb="4">
      <t>ショルイ</t>
    </rPh>
    <phoneticPr fontId="8"/>
  </si>
  <si>
    <r>
      <t>別添のとおり（登記簿謄本又は条例等、事業所平面図、経歴書、運営規程、利用者からの苦情を解決するために講ずる措置の概要、勤務体制・形態一覧表、設備・備品等一覧表、協力医療機関との契約内容がわかるもの）、</t>
    </r>
    <r>
      <rPr>
        <sz val="8"/>
        <color indexed="10"/>
        <rFont val="ＭＳ Ｐゴシック"/>
        <family val="3"/>
        <charset val="128"/>
      </rPr>
      <t>事業計画書</t>
    </r>
    <rPh sb="0" eb="2">
      <t>ベッテン</t>
    </rPh>
    <rPh sb="25" eb="28">
      <t>ケイレキショ</t>
    </rPh>
    <rPh sb="34" eb="37">
      <t>リヨウシャ</t>
    </rPh>
    <rPh sb="80" eb="82">
      <t>キョウリョク</t>
    </rPh>
    <rPh sb="82" eb="84">
      <t>イリョウ</t>
    </rPh>
    <rPh sb="84" eb="86">
      <t>キカン</t>
    </rPh>
    <rPh sb="88" eb="90">
      <t>ケイヤク</t>
    </rPh>
    <rPh sb="90" eb="92">
      <t>ナイヨウ</t>
    </rPh>
    <phoneticPr fontId="8"/>
  </si>
  <si>
    <t>（備考）</t>
    <rPh sb="1" eb="3">
      <t>ビコウ</t>
    </rPh>
    <phoneticPr fontId="8"/>
  </si>
  <si>
    <t>１．「受付番号」「基準上の必要人数」「基準上の必要値」「基準上の必要定員」欄には、記載しないでください。</t>
    <rPh sb="3" eb="5">
      <t>ウケツケ</t>
    </rPh>
    <rPh sb="5" eb="7">
      <t>バンゴウ</t>
    </rPh>
    <rPh sb="9" eb="11">
      <t>キジュン</t>
    </rPh>
    <rPh sb="11" eb="12">
      <t>ジョウ</t>
    </rPh>
    <rPh sb="13" eb="15">
      <t>ヒツヨウ</t>
    </rPh>
    <rPh sb="15" eb="17">
      <t>ニンズウ</t>
    </rPh>
    <rPh sb="19" eb="21">
      <t>キジュン</t>
    </rPh>
    <rPh sb="21" eb="22">
      <t>ジョウ</t>
    </rPh>
    <rPh sb="23" eb="25">
      <t>ヒツヨウ</t>
    </rPh>
    <rPh sb="25" eb="26">
      <t>アタイ</t>
    </rPh>
    <rPh sb="37" eb="38">
      <t>ラン</t>
    </rPh>
    <rPh sb="41" eb="43">
      <t>キサイ</t>
    </rPh>
    <phoneticPr fontId="8"/>
  </si>
  <si>
    <t>２．記入欄が不足する場合は、適宜欄を設けて記載するか又は別葉に記載した書類を添付してください。</t>
    <rPh sb="2" eb="5">
      <t>キニュウラン</t>
    </rPh>
    <rPh sb="6" eb="8">
      <t>フソク</t>
    </rPh>
    <rPh sb="10" eb="12">
      <t>バアイ</t>
    </rPh>
    <rPh sb="14" eb="16">
      <t>テキギ</t>
    </rPh>
    <rPh sb="16" eb="17">
      <t>ラン</t>
    </rPh>
    <rPh sb="18" eb="19">
      <t>モウ</t>
    </rPh>
    <rPh sb="21" eb="23">
      <t>キサイ</t>
    </rPh>
    <rPh sb="26" eb="27">
      <t>マタ</t>
    </rPh>
    <rPh sb="28" eb="29">
      <t>ベツ</t>
    </rPh>
    <rPh sb="29" eb="30">
      <t>ハ</t>
    </rPh>
    <rPh sb="31" eb="33">
      <t>キサイ</t>
    </rPh>
    <rPh sb="35" eb="37">
      <t>ショルイ</t>
    </rPh>
    <rPh sb="38" eb="40">
      <t>テンプ</t>
    </rPh>
    <phoneticPr fontId="8"/>
  </si>
  <si>
    <t>３．「看護職員」とは保健師、看護師、准看護師のことを言います。</t>
    <rPh sb="3" eb="5">
      <t>カンゴ</t>
    </rPh>
    <rPh sb="5" eb="7">
      <t>ショクイン</t>
    </rPh>
    <rPh sb="10" eb="13">
      <t>ホケンシ</t>
    </rPh>
    <rPh sb="14" eb="17">
      <t>カンゴシ</t>
    </rPh>
    <rPh sb="18" eb="22">
      <t>ジュンカンゴシ</t>
    </rPh>
    <rPh sb="26" eb="27">
      <t>イ</t>
    </rPh>
    <phoneticPr fontId="8"/>
  </si>
  <si>
    <t>４．新設の場合には、「前年度の平均利用者数」欄は推定数を記入してください。</t>
    <rPh sb="2" eb="4">
      <t>シンセツ</t>
    </rPh>
    <rPh sb="5" eb="7">
      <t>バアイ</t>
    </rPh>
    <rPh sb="11" eb="14">
      <t>ゼンネンド</t>
    </rPh>
    <rPh sb="15" eb="17">
      <t>ヘイキン</t>
    </rPh>
    <rPh sb="17" eb="20">
      <t>リヨウシャ</t>
    </rPh>
    <rPh sb="20" eb="21">
      <t>スウ</t>
    </rPh>
    <rPh sb="22" eb="23">
      <t>ラン</t>
    </rPh>
    <rPh sb="24" eb="27">
      <t>スイテイスウ</t>
    </rPh>
    <rPh sb="28" eb="30">
      <t>キニュウ</t>
    </rPh>
    <phoneticPr fontId="8"/>
  </si>
  <si>
    <t>５．「主な掲示事項」欄には、その内容を簡潔に記載してください。</t>
    <rPh sb="3" eb="4">
      <t>オモ</t>
    </rPh>
    <rPh sb="5" eb="7">
      <t>ケイジ</t>
    </rPh>
    <rPh sb="7" eb="9">
      <t>ジコウ</t>
    </rPh>
    <rPh sb="10" eb="11">
      <t>ラン</t>
    </rPh>
    <rPh sb="16" eb="18">
      <t>ナイヨウ</t>
    </rPh>
    <rPh sb="19" eb="21">
      <t>カンケツ</t>
    </rPh>
    <rPh sb="22" eb="24">
      <t>キサイ</t>
    </rPh>
    <phoneticPr fontId="8"/>
  </si>
  <si>
    <t>６．「※兼務」欄は、施設入所支援事業以外との兼務を行う職員について記載してください。</t>
    <rPh sb="4" eb="6">
      <t>ケンム</t>
    </rPh>
    <rPh sb="7" eb="8">
      <t>ラン</t>
    </rPh>
    <rPh sb="10" eb="12">
      <t>シセツ</t>
    </rPh>
    <rPh sb="12" eb="14">
      <t>ニュウショ</t>
    </rPh>
    <rPh sb="14" eb="16">
      <t>シエン</t>
    </rPh>
    <rPh sb="16" eb="18">
      <t>ジギョウ</t>
    </rPh>
    <rPh sb="18" eb="20">
      <t>イガイ</t>
    </rPh>
    <rPh sb="22" eb="24">
      <t>ケンム</t>
    </rPh>
    <rPh sb="25" eb="26">
      <t>オコナ</t>
    </rPh>
    <rPh sb="27" eb="29">
      <t>ショクイン</t>
    </rPh>
    <rPh sb="33" eb="35">
      <t>キサイ</t>
    </rPh>
    <phoneticPr fontId="8"/>
  </si>
  <si>
    <t>７．「その他の費用」欄には、入所者に直接金銭の負担を求める場合のサービス内容について記載してください。</t>
    <rPh sb="5" eb="6">
      <t>タ</t>
    </rPh>
    <rPh sb="7" eb="9">
      <t>ヒヨウ</t>
    </rPh>
    <rPh sb="10" eb="11">
      <t>ラン</t>
    </rPh>
    <rPh sb="14" eb="17">
      <t>ニュウショシャ</t>
    </rPh>
    <rPh sb="18" eb="20">
      <t>チョクセツ</t>
    </rPh>
    <rPh sb="20" eb="22">
      <t>キンセン</t>
    </rPh>
    <rPh sb="23" eb="25">
      <t>フタン</t>
    </rPh>
    <rPh sb="26" eb="27">
      <t>モト</t>
    </rPh>
    <rPh sb="29" eb="31">
      <t>バアイ</t>
    </rPh>
    <rPh sb="36" eb="38">
      <t>ナイヨウ</t>
    </rPh>
    <rPh sb="42" eb="44">
      <t>キサイ</t>
    </rPh>
    <phoneticPr fontId="8"/>
  </si>
  <si>
    <t>従業者の勤務の体制及び勤務形態一覧表</t>
    <rPh sb="0" eb="3">
      <t>ジュウギョウシャ</t>
    </rPh>
    <rPh sb="4" eb="6">
      <t>キンム</t>
    </rPh>
    <rPh sb="7" eb="9">
      <t>タイセイ</t>
    </rPh>
    <rPh sb="9" eb="10">
      <t>オヨ</t>
    </rPh>
    <rPh sb="11" eb="13">
      <t>キンム</t>
    </rPh>
    <rPh sb="13" eb="15">
      <t>ケイタイ</t>
    </rPh>
    <rPh sb="15" eb="18">
      <t>イチランヒョウ</t>
    </rPh>
    <phoneticPr fontId="8"/>
  </si>
  <si>
    <t>サービス種別</t>
    <rPh sb="4" eb="6">
      <t>シュベツ</t>
    </rPh>
    <phoneticPr fontId="1"/>
  </si>
  <si>
    <t>！申請するサービス類型を選択してください</t>
    <rPh sb="1" eb="3">
      <t>シンセイ</t>
    </rPh>
    <rPh sb="9" eb="11">
      <t>ルイケイ</t>
    </rPh>
    <rPh sb="12" eb="14">
      <t>センタク</t>
    </rPh>
    <phoneticPr fontId="3"/>
  </si>
  <si>
    <t>年</t>
    <rPh sb="0" eb="1">
      <t>ネン</t>
    </rPh>
    <phoneticPr fontId="8"/>
  </si>
  <si>
    <t>月</t>
    <rPh sb="0" eb="1">
      <t>ゲツ</t>
    </rPh>
    <phoneticPr fontId="8"/>
  </si>
  <si>
    <t>事業所名</t>
    <rPh sb="0" eb="3">
      <t>ジギョウショ</t>
    </rPh>
    <rPh sb="3" eb="4">
      <t>メイ</t>
    </rPh>
    <phoneticPr fontId="1"/>
  </si>
  <si>
    <t>(1)記載する期間</t>
    <rPh sb="3" eb="5">
      <t>キサイ</t>
    </rPh>
    <rPh sb="7" eb="9">
      <t>キカン</t>
    </rPh>
    <phoneticPr fontId="8"/>
  </si>
  <si>
    <t>(2)予定/実績の別</t>
    <rPh sb="3" eb="5">
      <t>ヨテイ</t>
    </rPh>
    <rPh sb="6" eb="8">
      <t>ジッセキ</t>
    </rPh>
    <rPh sb="9" eb="10">
      <t>ベツ</t>
    </rPh>
    <phoneticPr fontId="8"/>
  </si>
  <si>
    <t>(3)事業所における常勤の従業者が勤務すべき時間数</t>
    <rPh sb="3" eb="6">
      <t>ジギョウショ</t>
    </rPh>
    <rPh sb="10" eb="12">
      <t>ジョウキン</t>
    </rPh>
    <rPh sb="13" eb="16">
      <t>ジュウギョウシャ</t>
    </rPh>
    <rPh sb="17" eb="19">
      <t>キンム</t>
    </rPh>
    <rPh sb="22" eb="24">
      <t>ジカン</t>
    </rPh>
    <rPh sb="24" eb="25">
      <t>スウ</t>
    </rPh>
    <phoneticPr fontId="1"/>
  </si>
  <si>
    <t>時間/週</t>
    <rPh sb="0" eb="2">
      <t>ジカン</t>
    </rPh>
    <rPh sb="3" eb="4">
      <t>シュウ</t>
    </rPh>
    <phoneticPr fontId="8"/>
  </si>
  <si>
    <t>時間/月</t>
    <rPh sb="0" eb="2">
      <t>ジカン</t>
    </rPh>
    <rPh sb="3" eb="4">
      <t>ツキ</t>
    </rPh>
    <phoneticPr fontId="8"/>
  </si>
  <si>
    <t>No.</t>
    <phoneticPr fontId="8"/>
  </si>
  <si>
    <t>(4)職種</t>
    <rPh sb="3" eb="5">
      <t>ショクシュ</t>
    </rPh>
    <phoneticPr fontId="8"/>
  </si>
  <si>
    <t>(5)勤務形態</t>
    <rPh sb="3" eb="5">
      <t>キンム</t>
    </rPh>
    <rPh sb="5" eb="7">
      <t>ケイタイ</t>
    </rPh>
    <phoneticPr fontId="8"/>
  </si>
  <si>
    <t>(6)資格</t>
    <rPh sb="3" eb="5">
      <t>シカク</t>
    </rPh>
    <phoneticPr fontId="8"/>
  </si>
  <si>
    <t>(7)氏名</t>
    <rPh sb="3" eb="5">
      <t>シメイ</t>
    </rPh>
    <phoneticPr fontId="8"/>
  </si>
  <si>
    <t>(8)</t>
    <phoneticPr fontId="8"/>
  </si>
  <si>
    <t>(9)勤務時間数合計</t>
    <rPh sb="3" eb="5">
      <t>キンム</t>
    </rPh>
    <rPh sb="5" eb="7">
      <t>ジカン</t>
    </rPh>
    <rPh sb="7" eb="8">
      <t>スウ</t>
    </rPh>
    <rPh sb="8" eb="10">
      <t>ゴウケイ</t>
    </rPh>
    <phoneticPr fontId="8"/>
  </si>
  <si>
    <t>(10)週平均の勤務時間数</t>
    <rPh sb="4" eb="7">
      <t>シュウヘイキン</t>
    </rPh>
    <rPh sb="8" eb="10">
      <t>キンム</t>
    </rPh>
    <rPh sb="10" eb="12">
      <t>ジカン</t>
    </rPh>
    <rPh sb="12" eb="13">
      <t>スウ</t>
    </rPh>
    <phoneticPr fontId="8"/>
  </si>
  <si>
    <t>(11)兼務状況
（兼務先／兼務する職務の内容）等</t>
    <phoneticPr fontId="8"/>
  </si>
  <si>
    <t>第１週</t>
    <rPh sb="0" eb="1">
      <t>ダイ</t>
    </rPh>
    <rPh sb="2" eb="3">
      <t>シュウ</t>
    </rPh>
    <phoneticPr fontId="8"/>
  </si>
  <si>
    <t>第２週</t>
    <rPh sb="0" eb="1">
      <t>ダイ</t>
    </rPh>
    <rPh sb="2" eb="3">
      <t>シュウ</t>
    </rPh>
    <phoneticPr fontId="8"/>
  </si>
  <si>
    <t>第３週</t>
    <rPh sb="0" eb="1">
      <t>ダイ</t>
    </rPh>
    <rPh sb="2" eb="3">
      <t>シュウ</t>
    </rPh>
    <phoneticPr fontId="8"/>
  </si>
  <si>
    <t>第４週</t>
    <rPh sb="0" eb="1">
      <t>ダイ</t>
    </rPh>
    <rPh sb="2" eb="3">
      <t>シュウ</t>
    </rPh>
    <phoneticPr fontId="8"/>
  </si>
  <si>
    <t>第５週</t>
    <rPh sb="0" eb="1">
      <t>ダイ</t>
    </rPh>
    <rPh sb="2" eb="3">
      <t>シュウ</t>
    </rPh>
    <phoneticPr fontId="8"/>
  </si>
  <si>
    <t>合計</t>
    <rPh sb="0" eb="2">
      <t>ゴウケイ</t>
    </rPh>
    <phoneticPr fontId="8"/>
  </si>
  <si>
    <t>サービス提供時間</t>
    <rPh sb="4" eb="6">
      <t>テイキョウ</t>
    </rPh>
    <rPh sb="6" eb="8">
      <t>ジカン</t>
    </rPh>
    <phoneticPr fontId="8"/>
  </si>
  <si>
    <t>　・最初に「年月欄」「サービス種別」「事業所名」を入力してください。</t>
    <rPh sb="2" eb="4">
      <t>サイショ</t>
    </rPh>
    <rPh sb="6" eb="8">
      <t>ネンゲツ</t>
    </rPh>
    <rPh sb="8" eb="9">
      <t>ラン</t>
    </rPh>
    <rPh sb="15" eb="17">
      <t>シュベツ</t>
    </rPh>
    <rPh sb="19" eb="22">
      <t>ジギョウショ</t>
    </rPh>
    <rPh sb="22" eb="23">
      <t>メイ</t>
    </rPh>
    <rPh sb="25" eb="27">
      <t>ニュウリョク</t>
    </rPh>
    <phoneticPr fontId="1"/>
  </si>
  <si>
    <t>　(1) 「４週」・「暦月」のいずれかを選択してください。</t>
    <rPh sb="7" eb="8">
      <t>シュウ</t>
    </rPh>
    <rPh sb="11" eb="12">
      <t>レキ</t>
    </rPh>
    <rPh sb="12" eb="13">
      <t>ツキ</t>
    </rPh>
    <rPh sb="20" eb="22">
      <t>センタク</t>
    </rPh>
    <phoneticPr fontId="1"/>
  </si>
  <si>
    <t>　(2) 「予定」・「実績」のいずれかを選択してください。</t>
    <rPh sb="6" eb="8">
      <t>ヨテイ</t>
    </rPh>
    <rPh sb="11" eb="13">
      <t>ジッセキ</t>
    </rPh>
    <rPh sb="20" eb="22">
      <t>センタク</t>
    </rPh>
    <phoneticPr fontId="1"/>
  </si>
  <si>
    <t>　(3)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1"/>
  </si>
  <si>
    <t>　(4) 従業者の職種を入力してください。</t>
    <rPh sb="5" eb="8">
      <t>ジュウギョウシャ</t>
    </rPh>
    <rPh sb="9" eb="11">
      <t>ショクシュ</t>
    </rPh>
    <rPh sb="12" eb="14">
      <t>ニュウリョク</t>
    </rPh>
    <phoneticPr fontId="1"/>
  </si>
  <si>
    <t xml:space="preserve"> 　　 記入の順序は、職種ごとにまとめてください。</t>
    <rPh sb="4" eb="6">
      <t>キニュウ</t>
    </rPh>
    <rPh sb="7" eb="9">
      <t>ジュンジョ</t>
    </rPh>
    <rPh sb="11" eb="13">
      <t>ショクシュ</t>
    </rPh>
    <phoneticPr fontId="1"/>
  </si>
  <si>
    <t>　(5) 従業者の勤務形態について、下記のうち該当する区分の記号を入力してください。</t>
    <rPh sb="5" eb="8">
      <t>ジュウギョウシャ</t>
    </rPh>
    <rPh sb="9" eb="11">
      <t>キンム</t>
    </rPh>
    <rPh sb="11" eb="13">
      <t>ケイタイ</t>
    </rPh>
    <rPh sb="18" eb="20">
      <t>カキ</t>
    </rPh>
    <rPh sb="23" eb="25">
      <t>ガイトウ</t>
    </rPh>
    <rPh sb="27" eb="29">
      <t>クブン</t>
    </rPh>
    <rPh sb="30" eb="32">
      <t>キゴウ</t>
    </rPh>
    <rPh sb="33" eb="35">
      <t>ニュウリョク</t>
    </rPh>
    <phoneticPr fontId="2"/>
  </si>
  <si>
    <t>記号</t>
    <rPh sb="0" eb="2">
      <t>キゴウ</t>
    </rPh>
    <phoneticPr fontId="1"/>
  </si>
  <si>
    <t>区分</t>
    <rPh sb="0" eb="2">
      <t>クブン</t>
    </rPh>
    <phoneticPr fontId="1"/>
  </si>
  <si>
    <t>A</t>
  </si>
  <si>
    <t>常勤で専従</t>
    <rPh sb="0" eb="2">
      <t>ジョウキン</t>
    </rPh>
    <rPh sb="3" eb="5">
      <t>センジュウ</t>
    </rPh>
    <phoneticPr fontId="1"/>
  </si>
  <si>
    <t>B</t>
  </si>
  <si>
    <t>常勤で兼務</t>
    <rPh sb="0" eb="2">
      <t>ジョウキン</t>
    </rPh>
    <rPh sb="3" eb="5">
      <t>ケンム</t>
    </rPh>
    <phoneticPr fontId="1"/>
  </si>
  <si>
    <t>C</t>
  </si>
  <si>
    <t>非常勤で専従</t>
    <rPh sb="0" eb="3">
      <t>ヒジョウキン</t>
    </rPh>
    <rPh sb="4" eb="6">
      <t>センジュウ</t>
    </rPh>
    <phoneticPr fontId="1"/>
  </si>
  <si>
    <t>D</t>
  </si>
  <si>
    <t>非常勤で兼務</t>
    <rPh sb="0" eb="3">
      <t>ヒジョウキン</t>
    </rPh>
    <rPh sb="4" eb="6">
      <t>ケンム</t>
    </rPh>
    <phoneticPr fontId="1"/>
  </si>
  <si>
    <t>（注）常勤・非常勤の区分について</t>
    <rPh sb="1" eb="2">
      <t>チュウ</t>
    </rPh>
    <rPh sb="3" eb="5">
      <t>ジョウキン</t>
    </rPh>
    <rPh sb="6" eb="9">
      <t>ヒジョウキン</t>
    </rPh>
    <rPh sb="10" eb="12">
      <t>クブン</t>
    </rPh>
    <phoneticPr fontId="1"/>
  </si>
  <si>
    <r>
      <t>　　　当該事業所における勤務時間が、当該事業所において定められている常勤の従業者が勤務すべき時間数に達していることをいいます。</t>
    </r>
    <r>
      <rPr>
        <u/>
        <sz val="9"/>
        <rFont val="ＭＳ ゴシック"/>
        <family val="3"/>
        <charset val="128"/>
      </rPr>
      <t>雇用の形態は考慮しません</t>
    </r>
    <r>
      <rPr>
        <sz val="9"/>
        <rFont val="ＭＳ ゴシック"/>
        <family val="3"/>
        <charset val="128"/>
      </rPr>
      <t>。</t>
    </r>
    <rPh sb="3" eb="5">
      <t>トウガイ</t>
    </rPh>
    <rPh sb="5" eb="8">
      <t>ジギョウショ</t>
    </rPh>
    <rPh sb="12" eb="14">
      <t>キンム</t>
    </rPh>
    <rPh sb="14" eb="16">
      <t>ジカン</t>
    </rPh>
    <rPh sb="18" eb="20">
      <t>トウガイ</t>
    </rPh>
    <rPh sb="20" eb="23">
      <t>ジギョウショ</t>
    </rPh>
    <rPh sb="27" eb="28">
      <t>サダ</t>
    </rPh>
    <rPh sb="34" eb="36">
      <t>ジョウキン</t>
    </rPh>
    <rPh sb="37" eb="40">
      <t>ジュウギョウシャ</t>
    </rPh>
    <rPh sb="41" eb="43">
      <t>キンム</t>
    </rPh>
    <rPh sb="46" eb="49">
      <t>ジカンスウ</t>
    </rPh>
    <rPh sb="50" eb="51">
      <t>タッ</t>
    </rPh>
    <rPh sb="63" eb="65">
      <t>コヨウ</t>
    </rPh>
    <rPh sb="66" eb="68">
      <t>ケイタイ</t>
    </rPh>
    <rPh sb="69" eb="71">
      <t>コウリョ</t>
    </rPh>
    <phoneticPr fontId="1"/>
  </si>
  <si>
    <t>　　（例えば、常勤者は週に40時間勤務することとされた事業所であれば、非正規雇用であっても、週40時間勤務する従業者は常勤扱いとなります。）</t>
    <rPh sb="3" eb="4">
      <t>タト</t>
    </rPh>
    <rPh sb="7" eb="10">
      <t>ジョウキンシャ</t>
    </rPh>
    <rPh sb="11" eb="12">
      <t>シュウ</t>
    </rPh>
    <rPh sb="15" eb="17">
      <t>ジカン</t>
    </rPh>
    <rPh sb="17" eb="19">
      <t>キンム</t>
    </rPh>
    <rPh sb="27" eb="30">
      <t>ジギョウショ</t>
    </rPh>
    <rPh sb="35" eb="38">
      <t>ヒセイキ</t>
    </rPh>
    <rPh sb="38" eb="40">
      <t>コヨウ</t>
    </rPh>
    <rPh sb="46" eb="47">
      <t>シュウ</t>
    </rPh>
    <rPh sb="49" eb="51">
      <t>ジカン</t>
    </rPh>
    <rPh sb="51" eb="53">
      <t>キンム</t>
    </rPh>
    <rPh sb="55" eb="58">
      <t>ジュウギョウシャ</t>
    </rPh>
    <rPh sb="59" eb="61">
      <t>ジョウキン</t>
    </rPh>
    <rPh sb="61" eb="62">
      <t>アツカ</t>
    </rPh>
    <phoneticPr fontId="1"/>
  </si>
  <si>
    <t>　(6) 従業者の保有する資格を入力してください。</t>
    <rPh sb="5" eb="8">
      <t>ジュウギョウシャ</t>
    </rPh>
    <rPh sb="9" eb="11">
      <t>ホユウ</t>
    </rPh>
    <rPh sb="13" eb="15">
      <t>シカク</t>
    </rPh>
    <rPh sb="16" eb="18">
      <t>ニュウリョク</t>
    </rPh>
    <phoneticPr fontId="1"/>
  </si>
  <si>
    <t xml:space="preserve"> 　　 保有資格を全て記入するのではなく、人員基準上、求められる資格等を入力してください。</t>
    <rPh sb="4" eb="6">
      <t>ホユウ</t>
    </rPh>
    <rPh sb="6" eb="8">
      <t>シカク</t>
    </rPh>
    <rPh sb="9" eb="10">
      <t>スベ</t>
    </rPh>
    <rPh sb="11" eb="13">
      <t>キニュウ</t>
    </rPh>
    <rPh sb="21" eb="23">
      <t>ジンイン</t>
    </rPh>
    <rPh sb="23" eb="25">
      <t>キジュン</t>
    </rPh>
    <rPh sb="25" eb="26">
      <t>ジョウ</t>
    </rPh>
    <rPh sb="27" eb="28">
      <t>モト</t>
    </rPh>
    <rPh sb="32" eb="34">
      <t>シカク</t>
    </rPh>
    <rPh sb="34" eb="35">
      <t>トウ</t>
    </rPh>
    <rPh sb="36" eb="38">
      <t>ニュウリョク</t>
    </rPh>
    <phoneticPr fontId="1"/>
  </si>
  <si>
    <r>
      <t xml:space="preserve">       ※選択した資格及び研修に関して、</t>
    </r>
    <r>
      <rPr>
        <b/>
        <u/>
        <sz val="9"/>
        <rFont val="ＭＳ ゴシック"/>
        <family val="3"/>
        <charset val="128"/>
      </rPr>
      <t>必要に応じて、</t>
    </r>
    <r>
      <rPr>
        <b/>
        <sz val="9"/>
        <rFont val="ＭＳ ゴシック"/>
        <family val="3"/>
        <charset val="128"/>
      </rPr>
      <t>資格証又は研修修了証等の写しを添付資料として提出してください。</t>
    </r>
    <rPh sb="8" eb="10">
      <t>センタク</t>
    </rPh>
    <rPh sb="12" eb="14">
      <t>シカク</t>
    </rPh>
    <rPh sb="14" eb="15">
      <t>オヨ</t>
    </rPh>
    <rPh sb="16" eb="18">
      <t>ケンシュウ</t>
    </rPh>
    <rPh sb="19" eb="20">
      <t>カン</t>
    </rPh>
    <rPh sb="23" eb="25">
      <t>ヒツヨウ</t>
    </rPh>
    <rPh sb="26" eb="27">
      <t>オウ</t>
    </rPh>
    <rPh sb="30" eb="33">
      <t>シカクショウ</t>
    </rPh>
    <rPh sb="33" eb="34">
      <t>マタ</t>
    </rPh>
    <rPh sb="35" eb="37">
      <t>ケンシュウ</t>
    </rPh>
    <rPh sb="37" eb="39">
      <t>シュウリョウ</t>
    </rPh>
    <rPh sb="39" eb="41">
      <t>ショウトウ</t>
    </rPh>
    <rPh sb="42" eb="43">
      <t>ウツ</t>
    </rPh>
    <rPh sb="45" eb="47">
      <t>テンプ</t>
    </rPh>
    <rPh sb="47" eb="49">
      <t>シリョウ</t>
    </rPh>
    <rPh sb="52" eb="54">
      <t>テイシュツ</t>
    </rPh>
    <phoneticPr fontId="1"/>
  </si>
  <si>
    <t>　(7) 従業者の氏名を記入してください。</t>
    <rPh sb="5" eb="8">
      <t>ジュウギョウシャ</t>
    </rPh>
    <rPh sb="9" eb="11">
      <t>シメイ</t>
    </rPh>
    <rPh sb="12" eb="14">
      <t>キニュウ</t>
    </rPh>
    <phoneticPr fontId="1"/>
  </si>
  <si>
    <t>　(8) 申請する事業に係る従業者（管理者を含む。）の1ヶ月分の勤務時間を入力してください。</t>
    <rPh sb="5" eb="7">
      <t>シンセイ</t>
    </rPh>
    <rPh sb="9" eb="11">
      <t>ジギョウ</t>
    </rPh>
    <rPh sb="12" eb="13">
      <t>カカ</t>
    </rPh>
    <rPh sb="14" eb="17">
      <t>ジュウギョウシャ</t>
    </rPh>
    <rPh sb="18" eb="21">
      <t>カンリシャ</t>
    </rPh>
    <rPh sb="22" eb="23">
      <t>フク</t>
    </rPh>
    <rPh sb="29" eb="30">
      <t>ゲツ</t>
    </rPh>
    <rPh sb="30" eb="31">
      <t>ブン</t>
    </rPh>
    <rPh sb="32" eb="34">
      <t>キンム</t>
    </rPh>
    <rPh sb="34" eb="36">
      <t>ジカン</t>
    </rPh>
    <rPh sb="37" eb="39">
      <t>ニュウリョク</t>
    </rPh>
    <phoneticPr fontId="1"/>
  </si>
  <si>
    <t>　(9) 常勤の職員の休暇等については、その期間が暦年で１月を超えるものでない限り、常勤換算の計算上は勤務したものとみなすことができます。</t>
    <rPh sb="5" eb="7">
      <t>ジョウキン</t>
    </rPh>
    <rPh sb="8" eb="10">
      <t>ショクイン</t>
    </rPh>
    <rPh sb="11" eb="14">
      <t>キュウカトウ</t>
    </rPh>
    <rPh sb="22" eb="24">
      <t>キカン</t>
    </rPh>
    <rPh sb="25" eb="27">
      <t>レキネン</t>
    </rPh>
    <rPh sb="29" eb="30">
      <t>ツキ</t>
    </rPh>
    <rPh sb="31" eb="32">
      <t>コ</t>
    </rPh>
    <rPh sb="39" eb="40">
      <t>カギ</t>
    </rPh>
    <rPh sb="42" eb="46">
      <t>ジョウキンカンサン</t>
    </rPh>
    <rPh sb="47" eb="50">
      <t>ケイサンジョウ</t>
    </rPh>
    <rPh sb="51" eb="53">
      <t>キンム</t>
    </rPh>
    <phoneticPr fontId="1"/>
  </si>
  <si>
    <t>その場合、勤務時間欄には「休」と記入し、勤務時間の合計に含めてください（非常勤職員の休暇等は常勤換算の計算に含めることはできません）。</t>
    <rPh sb="2" eb="4">
      <t>バアイ</t>
    </rPh>
    <rPh sb="5" eb="10">
      <t>キンムジカンラン</t>
    </rPh>
    <rPh sb="13" eb="14">
      <t>ヤス</t>
    </rPh>
    <rPh sb="16" eb="18">
      <t>キニュウ</t>
    </rPh>
    <rPh sb="20" eb="24">
      <t>キンムジカン</t>
    </rPh>
    <rPh sb="25" eb="27">
      <t>ゴウケイ</t>
    </rPh>
    <rPh sb="28" eb="29">
      <t>フク</t>
    </rPh>
    <rPh sb="36" eb="41">
      <t>ヒジョウキンショクイン</t>
    </rPh>
    <rPh sb="42" eb="45">
      <t>キュウカトウ</t>
    </rPh>
    <rPh sb="46" eb="50">
      <t>ジョウキンカンサン</t>
    </rPh>
    <rPh sb="51" eb="53">
      <t>ケイサン</t>
    </rPh>
    <rPh sb="54" eb="55">
      <t>フク</t>
    </rPh>
    <phoneticPr fontId="8"/>
  </si>
  <si>
    <t>※指定基準の確認に際しては、４週分の入力で差し支えありません。</t>
    <rPh sb="1" eb="5">
      <t>シテイキジュン</t>
    </rPh>
    <rPh sb="15" eb="17">
      <t>シュウブン</t>
    </rPh>
    <rPh sb="18" eb="20">
      <t>ニュウリョク</t>
    </rPh>
    <rPh sb="21" eb="22">
      <t>サ</t>
    </rPh>
    <rPh sb="23" eb="24">
      <t>ツカ</t>
    </rPh>
    <phoneticPr fontId="8"/>
  </si>
  <si>
    <t>　(10) 従業者ごとに、合計勤務時間数を入力してください。</t>
    <rPh sb="6" eb="9">
      <t>ジュウギョウシャ</t>
    </rPh>
    <rPh sb="13" eb="15">
      <t>ゴウケイ</t>
    </rPh>
    <rPh sb="15" eb="17">
      <t>キンム</t>
    </rPh>
    <rPh sb="17" eb="20">
      <t>ジカンスウ</t>
    </rPh>
    <rPh sb="21" eb="23">
      <t>ニュウリョク</t>
    </rPh>
    <phoneticPr fontId="1"/>
  </si>
  <si>
    <t xml:space="preserve"> 　　 ※ 入力することができる時間数は、当該事業所において常勤の従業者が勤務すべき勤務時間数を上限とします。</t>
    <rPh sb="6" eb="8">
      <t>ニュウリョク</t>
    </rPh>
    <rPh sb="16" eb="18">
      <t>ジカン</t>
    </rPh>
    <rPh sb="18" eb="19">
      <t>スウ</t>
    </rPh>
    <rPh sb="21" eb="23">
      <t>トウガイ</t>
    </rPh>
    <rPh sb="23" eb="26">
      <t>ジギョウショ</t>
    </rPh>
    <rPh sb="30" eb="32">
      <t>ジョウキン</t>
    </rPh>
    <rPh sb="33" eb="36">
      <t>ジュウギョウシャ</t>
    </rPh>
    <rPh sb="37" eb="39">
      <t>キンム</t>
    </rPh>
    <rPh sb="42" eb="44">
      <t>キンム</t>
    </rPh>
    <rPh sb="44" eb="46">
      <t>ジカン</t>
    </rPh>
    <rPh sb="46" eb="47">
      <t>スウ</t>
    </rPh>
    <rPh sb="48" eb="50">
      <t>ジョウゲン</t>
    </rPh>
    <phoneticPr fontId="1"/>
  </si>
  <si>
    <t>　(11) 従業者ごとに、週平均の勤務時間数を入力してください。</t>
    <rPh sb="6" eb="9">
      <t>ジュウギョウシャ</t>
    </rPh>
    <rPh sb="13" eb="16">
      <t>シュウヘイキン</t>
    </rPh>
    <rPh sb="17" eb="19">
      <t>キンム</t>
    </rPh>
    <rPh sb="19" eb="22">
      <t>ジカンスウ</t>
    </rPh>
    <rPh sb="23" eb="25">
      <t>ニュウリョク</t>
    </rPh>
    <phoneticPr fontId="1"/>
  </si>
  <si>
    <t>　(12) 申請する事業所以外の事業所・施設との兼務がある場合は、兼務先の事業所・施設の名称、兼務する職務の内容について記入してください。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7" eb="49">
      <t>ケンム</t>
    </rPh>
    <rPh sb="51" eb="53">
      <t>ショクム</t>
    </rPh>
    <rPh sb="54" eb="56">
      <t>ナイヨウ</t>
    </rPh>
    <rPh sb="60" eb="62">
      <t>キニュウ</t>
    </rPh>
    <phoneticPr fontId="1"/>
  </si>
  <si>
    <t>　　　 同一事業所内の兼務についても兼務する職務の内容を記入してください。</t>
    <rPh sb="4" eb="6">
      <t>ドウイツ</t>
    </rPh>
    <rPh sb="6" eb="9">
      <t>ジギョウショ</t>
    </rPh>
    <rPh sb="9" eb="10">
      <t>ナイ</t>
    </rPh>
    <rPh sb="11" eb="13">
      <t>ケンム</t>
    </rPh>
    <rPh sb="18" eb="20">
      <t>ケンム</t>
    </rPh>
    <rPh sb="22" eb="24">
      <t>ショクム</t>
    </rPh>
    <rPh sb="25" eb="27">
      <t>ナイヨウ</t>
    </rPh>
    <rPh sb="28" eb="30">
      <t>キニュウ</t>
    </rPh>
    <phoneticPr fontId="1"/>
  </si>
  <si>
    <t>　　　 その他、特記事項欄としてもご活用ください。</t>
    <rPh sb="6" eb="7">
      <t>タ</t>
    </rPh>
    <rPh sb="8" eb="10">
      <t>トッキ</t>
    </rPh>
    <rPh sb="10" eb="12">
      <t>ジコウ</t>
    </rPh>
    <rPh sb="12" eb="13">
      <t>ラン</t>
    </rPh>
    <rPh sb="18" eb="20">
      <t>カツヨウ</t>
    </rPh>
    <phoneticPr fontId="2"/>
  </si>
  <si>
    <t xml:space="preserve"> （13)本表には計算式を設定していますが、結果に誤りがないかご確認ください。</t>
    <rPh sb="5" eb="7">
      <t>ホンヒョウ</t>
    </rPh>
    <rPh sb="9" eb="12">
      <t>ケイサンシキ</t>
    </rPh>
    <rPh sb="13" eb="15">
      <t>セッテイ</t>
    </rPh>
    <rPh sb="22" eb="24">
      <t>ケッカ</t>
    </rPh>
    <rPh sb="25" eb="26">
      <t>アヤマ</t>
    </rPh>
    <rPh sb="32" eb="34">
      <t>カクニン</t>
    </rPh>
    <phoneticPr fontId="8"/>
  </si>
  <si>
    <t xml:space="preserve"> （14) 必要項目を満たしていれば、各事業所で使用するシフト表等をもって代替書類として差し支えありません。</t>
    <phoneticPr fontId="8"/>
  </si>
  <si>
    <t>居宅介護</t>
  </si>
  <si>
    <t>４週</t>
  </si>
  <si>
    <t>※選択肢にない職種については直接入力してください</t>
    <phoneticPr fontId="3"/>
  </si>
  <si>
    <t>管理者</t>
    <rPh sb="0" eb="3">
      <t>カンリシャ</t>
    </rPh>
    <phoneticPr fontId="3"/>
  </si>
  <si>
    <t>サービス提供責任者</t>
    <rPh sb="4" eb="6">
      <t>テイキョウ</t>
    </rPh>
    <rPh sb="6" eb="9">
      <t>セキニンシャ</t>
    </rPh>
    <phoneticPr fontId="3"/>
  </si>
  <si>
    <t>従業者</t>
    <rPh sb="0" eb="3">
      <t>ジュウギョウシャ</t>
    </rPh>
    <phoneticPr fontId="3"/>
  </si>
  <si>
    <t>E</t>
    <phoneticPr fontId="4"/>
  </si>
  <si>
    <t>F</t>
    <phoneticPr fontId="4"/>
  </si>
  <si>
    <t>G</t>
    <phoneticPr fontId="4"/>
  </si>
  <si>
    <t>H</t>
    <phoneticPr fontId="4"/>
  </si>
  <si>
    <t>I</t>
    <phoneticPr fontId="4"/>
  </si>
  <si>
    <t>J</t>
    <phoneticPr fontId="4"/>
  </si>
  <si>
    <t>＜人員に関する基準＞</t>
    <rPh sb="1" eb="3">
      <t>ジンイン</t>
    </rPh>
    <rPh sb="4" eb="5">
      <t>カン</t>
    </rPh>
    <rPh sb="7" eb="9">
      <t>キジュン</t>
    </rPh>
    <phoneticPr fontId="8"/>
  </si>
  <si>
    <t>（新規申請の場合は推定数）</t>
    <phoneticPr fontId="4"/>
  </si>
  <si>
    <t>○サービス提供責任者</t>
    <rPh sb="5" eb="7">
      <t>テイキョウ</t>
    </rPh>
    <rPh sb="7" eb="10">
      <t>セキニンシャ</t>
    </rPh>
    <phoneticPr fontId="4"/>
  </si>
  <si>
    <t>合計</t>
    <rPh sb="0" eb="2">
      <t>ゴウケイ</t>
    </rPh>
    <phoneticPr fontId="4"/>
  </si>
  <si>
    <t>区分</t>
    <rPh sb="0" eb="2">
      <t>クブン</t>
    </rPh>
    <phoneticPr fontId="4"/>
  </si>
  <si>
    <t>各区分の値とそれに基づく配置数</t>
    <phoneticPr fontId="3"/>
  </si>
  <si>
    <t>必要な配置数</t>
    <rPh sb="0" eb="2">
      <t>ヒツヨウ</t>
    </rPh>
    <rPh sb="3" eb="6">
      <t>ハイチスウ</t>
    </rPh>
    <phoneticPr fontId="4"/>
  </si>
  <si>
    <t>利用者数（通院等乗降介助以外）</t>
    <rPh sb="0" eb="3">
      <t>リヨウシャ</t>
    </rPh>
    <rPh sb="3" eb="4">
      <t>スウ</t>
    </rPh>
    <phoneticPr fontId="4"/>
  </si>
  <si>
    <t>○</t>
  </si>
  <si>
    <t>常勤換算方法によらない場合</t>
    <phoneticPr fontId="3"/>
  </si>
  <si>
    <t>サービス提供時間が450時間又はその端数を増すごとに1人以上</t>
    <phoneticPr fontId="3"/>
  </si>
  <si>
    <t>h</t>
    <phoneticPr fontId="4"/>
  </si>
  <si>
    <t>利用者数（通院等乗降介助）</t>
    <rPh sb="0" eb="3">
      <t>リヨウシャ</t>
    </rPh>
    <rPh sb="3" eb="4">
      <t>スウ</t>
    </rPh>
    <phoneticPr fontId="4"/>
  </si>
  <si>
    <t>従業者数が10人又はその端数を増すごとに1人以上</t>
    <phoneticPr fontId="3"/>
  </si>
  <si>
    <t>人</t>
    <rPh sb="0" eb="1">
      <t>ニン</t>
    </rPh>
    <phoneticPr fontId="4"/>
  </si>
  <si>
    <t>利用者数が40人又はその端数を増すごとに1人以上</t>
    <phoneticPr fontId="3"/>
  </si>
  <si>
    <t>※通院等乗降介助のみの利用者については1人0.1人換算</t>
    <rPh sb="1" eb="8">
      <t>ツウイントウジョウコウカイジョ</t>
    </rPh>
    <rPh sb="11" eb="14">
      <t>リヨウシャ</t>
    </rPh>
    <rPh sb="20" eb="21">
      <t>ニン</t>
    </rPh>
    <rPh sb="24" eb="25">
      <t>ニン</t>
    </rPh>
    <rPh sb="25" eb="27">
      <t>カンサン</t>
    </rPh>
    <phoneticPr fontId="4"/>
  </si>
  <si>
    <t>（平均利用者数）</t>
    <phoneticPr fontId="4"/>
  </si>
  <si>
    <t>常勤換算方法による場合</t>
  </si>
  <si>
    <t>次の条件を満たす場合は「○」を選択→</t>
    <rPh sb="0" eb="1">
      <t>ツギ</t>
    </rPh>
    <rPh sb="2" eb="4">
      <t>ジョウケン</t>
    </rPh>
    <rPh sb="5" eb="6">
      <t>ミ</t>
    </rPh>
    <rPh sb="8" eb="10">
      <t>バアイ</t>
    </rPh>
    <rPh sb="15" eb="17">
      <t>センタク</t>
    </rPh>
    <phoneticPr fontId="3"/>
  </si>
  <si>
    <t>①常勤のサービス提供責任者を３人以上配置</t>
    <phoneticPr fontId="3"/>
  </si>
  <si>
    <t>②サービス提供責任者の業務に主として従事する者を1人以上配置</t>
    <phoneticPr fontId="3"/>
  </si>
  <si>
    <t>③サービス提供責任者が行う業務が効率的に行われている</t>
    <phoneticPr fontId="3"/>
  </si>
  <si>
    <t>＜人員基準に関する実人数集計＞</t>
    <rPh sb="1" eb="5">
      <t>ジンインキジュン</t>
    </rPh>
    <rPh sb="6" eb="7">
      <t>カン</t>
    </rPh>
    <rPh sb="9" eb="10">
      <t>ジツ</t>
    </rPh>
    <rPh sb="10" eb="12">
      <t>ニンズウ</t>
    </rPh>
    <rPh sb="12" eb="14">
      <t>シュウケイ</t>
    </rPh>
    <phoneticPr fontId="8"/>
  </si>
  <si>
    <t>専従</t>
    <rPh sb="0" eb="2">
      <t>センジュウ</t>
    </rPh>
    <phoneticPr fontId="4"/>
  </si>
  <si>
    <t>兼務</t>
    <rPh sb="0" eb="2">
      <t>ケンム</t>
    </rPh>
    <phoneticPr fontId="4"/>
  </si>
  <si>
    <t>常勤</t>
    <rPh sb="0" eb="2">
      <t>ジョウキン</t>
    </rPh>
    <phoneticPr fontId="8"/>
  </si>
  <si>
    <t>非常勤</t>
    <rPh sb="0" eb="3">
      <t>ヒジョウキン</t>
    </rPh>
    <phoneticPr fontId="8"/>
  </si>
  <si>
    <t>常勤換算数</t>
    <rPh sb="0" eb="5">
      <t>ジョウキンカンサンスウ</t>
    </rPh>
    <phoneticPr fontId="3"/>
  </si>
  <si>
    <t>重度訪問介護</t>
    <rPh sb="0" eb="2">
      <t>ジュウド</t>
    </rPh>
    <rPh sb="2" eb="4">
      <t>ホウモン</t>
    </rPh>
    <rPh sb="4" eb="6">
      <t>カイゴ</t>
    </rPh>
    <phoneticPr fontId="3"/>
  </si>
  <si>
    <t>利用者数</t>
    <rPh sb="0" eb="3">
      <t>リヨウシャ</t>
    </rPh>
    <rPh sb="3" eb="4">
      <t>スウ</t>
    </rPh>
    <phoneticPr fontId="4"/>
  </si>
  <si>
    <t>サービス提供時間が1000時間又はその端数を増すごとに1人以上</t>
    <phoneticPr fontId="3"/>
  </si>
  <si>
    <t>（平均利用者数）</t>
    <phoneticPr fontId="3"/>
  </si>
  <si>
    <t>従業者数が20人又はその端数を増すごとに1人以上</t>
    <phoneticPr fontId="3"/>
  </si>
  <si>
    <t>利用者数が10人又はその端数を増すごとに1人以上</t>
    <phoneticPr fontId="3"/>
  </si>
  <si>
    <t>※事業所における待機時間や移動時間については、サービス提供時間から除く。</t>
    <rPh sb="1" eb="4">
      <t>ジギョウショ</t>
    </rPh>
    <rPh sb="8" eb="10">
      <t>タイキ</t>
    </rPh>
    <rPh sb="10" eb="12">
      <t>ジカン</t>
    </rPh>
    <rPh sb="13" eb="15">
      <t>イドウ</t>
    </rPh>
    <rPh sb="15" eb="17">
      <t>ジカン</t>
    </rPh>
    <rPh sb="27" eb="29">
      <t>テイキョウ</t>
    </rPh>
    <rPh sb="29" eb="31">
      <t>ジカン</t>
    </rPh>
    <rPh sb="33" eb="34">
      <t>ノゾ</t>
    </rPh>
    <phoneticPr fontId="3"/>
  </si>
  <si>
    <t>同行援護</t>
    <rPh sb="0" eb="2">
      <t>ドウコウ</t>
    </rPh>
    <rPh sb="2" eb="4">
      <t>エンゴ</t>
    </rPh>
    <phoneticPr fontId="3"/>
  </si>
  <si>
    <t>従業者</t>
    <phoneticPr fontId="3"/>
  </si>
  <si>
    <t>（平均利用者数）</t>
  </si>
  <si>
    <t>行動援護</t>
    <rPh sb="0" eb="4">
      <t>コウドウエンゴ</t>
    </rPh>
    <phoneticPr fontId="3"/>
  </si>
  <si>
    <t>療養介護</t>
    <rPh sb="0" eb="2">
      <t>リョウヨウ</t>
    </rPh>
    <rPh sb="2" eb="4">
      <t>カイゴ</t>
    </rPh>
    <phoneticPr fontId="8"/>
  </si>
  <si>
    <t>サービス管理責任者</t>
    <rPh sb="4" eb="6">
      <t>カンリ</t>
    </rPh>
    <rPh sb="6" eb="9">
      <t>セキニンシャ</t>
    </rPh>
    <phoneticPr fontId="3"/>
  </si>
  <si>
    <t>医師</t>
    <rPh sb="0" eb="2">
      <t>イシ</t>
    </rPh>
    <phoneticPr fontId="3"/>
  </si>
  <si>
    <t>看護職員</t>
    <rPh sb="0" eb="4">
      <t>カンゴショクイン</t>
    </rPh>
    <phoneticPr fontId="3"/>
  </si>
  <si>
    <t>＜前年度の平均値＞※新規申請の場合は推定数を記載ください。</t>
    <rPh sb="1" eb="2">
      <t>ゼン</t>
    </rPh>
    <rPh sb="2" eb="4">
      <t>ネンド</t>
    </rPh>
    <rPh sb="5" eb="8">
      <t>ヘイキンチ</t>
    </rPh>
    <rPh sb="10" eb="12">
      <t>シンキ</t>
    </rPh>
    <rPh sb="12" eb="14">
      <t>シンセイ</t>
    </rPh>
    <rPh sb="15" eb="17">
      <t>バアイ</t>
    </rPh>
    <rPh sb="18" eb="21">
      <t>スイテイスウ</t>
    </rPh>
    <rPh sb="22" eb="24">
      <t>キサイ</t>
    </rPh>
    <phoneticPr fontId="8"/>
  </si>
  <si>
    <t>計</t>
    <rPh sb="0" eb="1">
      <t>ケイ</t>
    </rPh>
    <phoneticPr fontId="8"/>
  </si>
  <si>
    <t>平均利用者数</t>
    <rPh sb="0" eb="2">
      <t>ヘイキン</t>
    </rPh>
    <rPh sb="2" eb="6">
      <t>リヨウシャスウ</t>
    </rPh>
    <phoneticPr fontId="8"/>
  </si>
  <si>
    <t>利用者延べ数</t>
    <rPh sb="3" eb="4">
      <t>ノ</t>
    </rPh>
    <phoneticPr fontId="8"/>
  </si>
  <si>
    <t>開所日数</t>
    <rPh sb="0" eb="2">
      <t>カイショ</t>
    </rPh>
    <rPh sb="2" eb="4">
      <t>ニッスウ</t>
    </rPh>
    <phoneticPr fontId="4"/>
  </si>
  <si>
    <t>生活支援員</t>
    <rPh sb="0" eb="5">
      <t>セイカツシエンイン</t>
    </rPh>
    <phoneticPr fontId="3"/>
  </si>
  <si>
    <t>兼務</t>
    <rPh sb="0" eb="2">
      <t>ケンム</t>
    </rPh>
    <phoneticPr fontId="8"/>
  </si>
  <si>
    <t>生活介護</t>
    <rPh sb="0" eb="2">
      <t>セイカツ</t>
    </rPh>
    <rPh sb="2" eb="4">
      <t>カイゴ</t>
    </rPh>
    <phoneticPr fontId="8"/>
  </si>
  <si>
    <t>平均障害支援区分</t>
    <rPh sb="0" eb="2">
      <t>ヘイキン</t>
    </rPh>
    <rPh sb="2" eb="4">
      <t>ショウガイ</t>
    </rPh>
    <rPh sb="4" eb="6">
      <t>シエン</t>
    </rPh>
    <rPh sb="6" eb="8">
      <t>クブン</t>
    </rPh>
    <phoneticPr fontId="8"/>
  </si>
  <si>
    <t>利用者延べ数計</t>
    <rPh sb="3" eb="4">
      <t>ノ</t>
    </rPh>
    <rPh sb="6" eb="7">
      <t>ケイ</t>
    </rPh>
    <phoneticPr fontId="8"/>
  </si>
  <si>
    <t>　区分２の延べ利用者数</t>
    <rPh sb="1" eb="3">
      <t>クブン</t>
    </rPh>
    <rPh sb="5" eb="6">
      <t>ノ</t>
    </rPh>
    <rPh sb="7" eb="11">
      <t>リヨウシャスウ</t>
    </rPh>
    <phoneticPr fontId="3"/>
  </si>
  <si>
    <t>　区分３の延べ利用者数</t>
    <rPh sb="1" eb="3">
      <t>クブン</t>
    </rPh>
    <rPh sb="5" eb="6">
      <t>ノ</t>
    </rPh>
    <rPh sb="7" eb="11">
      <t>リヨウシャスウ</t>
    </rPh>
    <phoneticPr fontId="3"/>
  </si>
  <si>
    <t>　区分４の延べ利用者数</t>
    <rPh sb="1" eb="3">
      <t>クブン</t>
    </rPh>
    <rPh sb="5" eb="6">
      <t>ノ</t>
    </rPh>
    <rPh sb="7" eb="11">
      <t>リヨウシャスウ</t>
    </rPh>
    <phoneticPr fontId="3"/>
  </si>
  <si>
    <t>　区分５の延べ利用者数</t>
    <rPh sb="1" eb="3">
      <t>クブン</t>
    </rPh>
    <rPh sb="5" eb="6">
      <t>ノ</t>
    </rPh>
    <rPh sb="7" eb="11">
      <t>リヨウシャスウ</t>
    </rPh>
    <phoneticPr fontId="3"/>
  </si>
  <si>
    <t>　区分６の延べ利用者数</t>
    <rPh sb="1" eb="3">
      <t>クブン</t>
    </rPh>
    <rPh sb="5" eb="6">
      <t>ノ</t>
    </rPh>
    <rPh sb="7" eb="11">
      <t>リヨウシャスウ</t>
    </rPh>
    <phoneticPr fontId="3"/>
  </si>
  <si>
    <t>所要時間５時間未満の利用者数</t>
    <rPh sb="0" eb="2">
      <t>ショヨウ</t>
    </rPh>
    <rPh sb="2" eb="4">
      <t>ジカン</t>
    </rPh>
    <rPh sb="5" eb="7">
      <t>ジカン</t>
    </rPh>
    <rPh sb="7" eb="9">
      <t>ミマン</t>
    </rPh>
    <rPh sb="10" eb="13">
      <t>リヨウシャ</t>
    </rPh>
    <rPh sb="13" eb="14">
      <t>スウ</t>
    </rPh>
    <phoneticPr fontId="3"/>
  </si>
  <si>
    <t>所要時間５時間以上７時間未満の
利用者数</t>
    <rPh sb="0" eb="2">
      <t>ショヨウ</t>
    </rPh>
    <rPh sb="2" eb="4">
      <t>ジカン</t>
    </rPh>
    <rPh sb="5" eb="7">
      <t>ジカン</t>
    </rPh>
    <rPh sb="7" eb="9">
      <t>イジョウ</t>
    </rPh>
    <rPh sb="10" eb="12">
      <t>ジカン</t>
    </rPh>
    <rPh sb="12" eb="14">
      <t>ミマン</t>
    </rPh>
    <rPh sb="16" eb="19">
      <t>リヨウシャ</t>
    </rPh>
    <rPh sb="19" eb="20">
      <t>スウ</t>
    </rPh>
    <phoneticPr fontId="3"/>
  </si>
  <si>
    <t>(※)利用者延べ数の内数を記載してください。所要時間は、送迎や障害特性等による配慮事項を含む、個別支援計画に位置付けられた標準的な時間を指します。</t>
    <phoneticPr fontId="3"/>
  </si>
  <si>
    <t>看護職員、理学療法士、作業療法士又は言語聴覚士及び生活支援員</t>
    <rPh sb="0" eb="4">
      <t>カンゴショクイン</t>
    </rPh>
    <phoneticPr fontId="3"/>
  </si>
  <si>
    <t>短期入所・併設型</t>
    <rPh sb="0" eb="2">
      <t>タンキ</t>
    </rPh>
    <rPh sb="2" eb="4">
      <t>ニュウショ</t>
    </rPh>
    <rPh sb="5" eb="7">
      <t>ヘイセツ</t>
    </rPh>
    <rPh sb="7" eb="8">
      <t>ガタ</t>
    </rPh>
    <phoneticPr fontId="8"/>
  </si>
  <si>
    <t>短期入所・空床利用型</t>
    <rPh sb="0" eb="2">
      <t>タンキ</t>
    </rPh>
    <rPh sb="2" eb="4">
      <t>ニュウショ</t>
    </rPh>
    <rPh sb="5" eb="7">
      <t>クウショウ</t>
    </rPh>
    <rPh sb="7" eb="9">
      <t>リヨウ</t>
    </rPh>
    <rPh sb="9" eb="10">
      <t>ガタ</t>
    </rPh>
    <phoneticPr fontId="8"/>
  </si>
  <si>
    <t>短期入所・単独型</t>
    <rPh sb="0" eb="2">
      <t>タンキ</t>
    </rPh>
    <rPh sb="2" eb="4">
      <t>ニュウショ</t>
    </rPh>
    <rPh sb="5" eb="7">
      <t>タンドク</t>
    </rPh>
    <rPh sb="7" eb="8">
      <t>ガタ</t>
    </rPh>
    <phoneticPr fontId="8"/>
  </si>
  <si>
    <t>重度障害者等包括支援</t>
    <rPh sb="0" eb="10">
      <t>ジュウドショウガイシャトウホウカツシエン</t>
    </rPh>
    <phoneticPr fontId="8"/>
  </si>
  <si>
    <t>機能訓練</t>
    <rPh sb="0" eb="2">
      <t>キノウ</t>
    </rPh>
    <rPh sb="2" eb="4">
      <t>クンレン</t>
    </rPh>
    <phoneticPr fontId="8"/>
  </si>
  <si>
    <t>理学療法士</t>
    <rPh sb="0" eb="5">
      <t>リガクリョウホウシ</t>
    </rPh>
    <phoneticPr fontId="3"/>
  </si>
  <si>
    <t>看護職員、理学療法士、作業療法士又は言語聴覚士及び生活支援員</t>
    <rPh sb="0" eb="2">
      <t>カンゴ</t>
    </rPh>
    <rPh sb="2" eb="4">
      <t>ショクイン</t>
    </rPh>
    <rPh sb="5" eb="7">
      <t>リガク</t>
    </rPh>
    <rPh sb="7" eb="10">
      <t>リョウホウシ</t>
    </rPh>
    <rPh sb="11" eb="13">
      <t>サギョウ</t>
    </rPh>
    <rPh sb="13" eb="16">
      <t>リョウホウシ</t>
    </rPh>
    <rPh sb="16" eb="17">
      <t>マタ</t>
    </rPh>
    <rPh sb="18" eb="20">
      <t>ゲンゴ</t>
    </rPh>
    <rPh sb="20" eb="23">
      <t>チョウカクシ</t>
    </rPh>
    <rPh sb="23" eb="24">
      <t>オヨ</t>
    </rPh>
    <rPh sb="25" eb="27">
      <t>セイカツ</t>
    </rPh>
    <rPh sb="27" eb="29">
      <t>シエン</t>
    </rPh>
    <rPh sb="29" eb="30">
      <t>イン</t>
    </rPh>
    <phoneticPr fontId="3"/>
  </si>
  <si>
    <t>生活訓練</t>
    <rPh sb="0" eb="2">
      <t>セイカツ</t>
    </rPh>
    <rPh sb="2" eb="4">
      <t>クンレン</t>
    </rPh>
    <phoneticPr fontId="8"/>
  </si>
  <si>
    <t>地域移行支援員</t>
    <rPh sb="0" eb="4">
      <t>チイキイコウ</t>
    </rPh>
    <rPh sb="4" eb="7">
      <t>シエンイン</t>
    </rPh>
    <phoneticPr fontId="3"/>
  </si>
  <si>
    <t xml:space="preserve"> 宿泊型自立訓練以外の
 利用者</t>
    <rPh sb="1" eb="4">
      <t>シュクハクガタ</t>
    </rPh>
    <rPh sb="4" eb="8">
      <t>ジリツクンレン</t>
    </rPh>
    <rPh sb="8" eb="10">
      <t>イガイ</t>
    </rPh>
    <rPh sb="13" eb="16">
      <t>リヨウシャ</t>
    </rPh>
    <phoneticPr fontId="8"/>
  </si>
  <si>
    <t xml:space="preserve"> 宿泊型自立訓練の利用者</t>
    <rPh sb="1" eb="4">
      <t>シュクハクガタ</t>
    </rPh>
    <rPh sb="4" eb="8">
      <t>ジリツクンレン</t>
    </rPh>
    <rPh sb="9" eb="12">
      <t>リヨウシャ</t>
    </rPh>
    <phoneticPr fontId="8"/>
  </si>
  <si>
    <t xml:space="preserve"> 　　 保有資格を全て記入するのではなく、人員基準・加配加算上、求められる資格等を入力してください。</t>
    <phoneticPr fontId="1"/>
  </si>
  <si>
    <t>就労選択支援</t>
    <rPh sb="0" eb="2">
      <t>シュウロウ</t>
    </rPh>
    <rPh sb="2" eb="4">
      <t>センタク</t>
    </rPh>
    <rPh sb="4" eb="6">
      <t>シエン</t>
    </rPh>
    <phoneticPr fontId="8"/>
  </si>
  <si>
    <t>就労選択支援員</t>
    <rPh sb="0" eb="2">
      <t>シュウロウ</t>
    </rPh>
    <rPh sb="2" eb="4">
      <t>センタク</t>
    </rPh>
    <rPh sb="4" eb="7">
      <t>シエンイン</t>
    </rPh>
    <phoneticPr fontId="3"/>
  </si>
  <si>
    <t>就労移行支援</t>
    <rPh sb="0" eb="2">
      <t>シュウロウ</t>
    </rPh>
    <rPh sb="2" eb="4">
      <t>イコウ</t>
    </rPh>
    <rPh sb="4" eb="6">
      <t>シエン</t>
    </rPh>
    <phoneticPr fontId="8"/>
  </si>
  <si>
    <t>　　(3)施設外就労の有無</t>
    <rPh sb="5" eb="7">
      <t>シセツ</t>
    </rPh>
    <rPh sb="7" eb="8">
      <t>ガイ</t>
    </rPh>
    <rPh sb="8" eb="10">
      <t>シュウロウ</t>
    </rPh>
    <rPh sb="11" eb="13">
      <t>ウム</t>
    </rPh>
    <phoneticPr fontId="8"/>
  </si>
  <si>
    <t>有</t>
  </si>
  <si>
    <t>就労支援員</t>
    <rPh sb="0" eb="5">
      <t>シュウロウシエンイン</t>
    </rPh>
    <phoneticPr fontId="3"/>
  </si>
  <si>
    <t>職業指導員</t>
    <rPh sb="0" eb="4">
      <t>ショクギョウシドウ</t>
    </rPh>
    <rPh sb="4" eb="5">
      <t>イン</t>
    </rPh>
    <phoneticPr fontId="3"/>
  </si>
  <si>
    <t>職業指導員及び生活支援員</t>
    <rPh sb="0" eb="2">
      <t>ショクギョウ</t>
    </rPh>
    <rPh sb="2" eb="4">
      <t>シドウ</t>
    </rPh>
    <rPh sb="4" eb="5">
      <t>イン</t>
    </rPh>
    <rPh sb="5" eb="6">
      <t>オヨ</t>
    </rPh>
    <rPh sb="7" eb="9">
      <t>セイカツ</t>
    </rPh>
    <rPh sb="9" eb="11">
      <t>シエン</t>
    </rPh>
    <rPh sb="11" eb="12">
      <t>イン</t>
    </rPh>
    <phoneticPr fontId="3"/>
  </si>
  <si>
    <t>就労支援員</t>
  </si>
  <si>
    <t>　(3) 施設外就労について「有」「無」のいずれかを選択してください。</t>
    <rPh sb="5" eb="10">
      <t>シセツガイシュウロウ</t>
    </rPh>
    <rPh sb="15" eb="16">
      <t>ア</t>
    </rPh>
    <rPh sb="18" eb="19">
      <t>ナ</t>
    </rPh>
    <rPh sb="26" eb="28">
      <t>センタク</t>
    </rPh>
    <phoneticPr fontId="1"/>
  </si>
  <si>
    <t>認定指定就労移行支援</t>
    <rPh sb="0" eb="2">
      <t>ニンテイ</t>
    </rPh>
    <rPh sb="2" eb="4">
      <t>シテイ</t>
    </rPh>
    <rPh sb="4" eb="6">
      <t>シュウロウ</t>
    </rPh>
    <rPh sb="6" eb="8">
      <t>イコウ</t>
    </rPh>
    <rPh sb="8" eb="10">
      <t>シエン</t>
    </rPh>
    <phoneticPr fontId="8"/>
  </si>
  <si>
    <t>歴月</t>
  </si>
  <si>
    <t>生活支援員</t>
    <rPh sb="0" eb="2">
      <t>セイカツ</t>
    </rPh>
    <rPh sb="2" eb="5">
      <t>シエンイン</t>
    </rPh>
    <phoneticPr fontId="3"/>
  </si>
  <si>
    <t>就労継続支援Ａ型・Ｂ型</t>
    <rPh sb="0" eb="2">
      <t>シュウロウ</t>
    </rPh>
    <rPh sb="2" eb="4">
      <t>ケイゾク</t>
    </rPh>
    <rPh sb="4" eb="6">
      <t>シエン</t>
    </rPh>
    <rPh sb="7" eb="8">
      <t>ガタ</t>
    </rPh>
    <rPh sb="10" eb="11">
      <t>ガタ</t>
    </rPh>
    <phoneticPr fontId="8"/>
  </si>
  <si>
    <t>就労定着支援</t>
    <rPh sb="0" eb="2">
      <t>シュウロウ</t>
    </rPh>
    <rPh sb="2" eb="4">
      <t>テイチャク</t>
    </rPh>
    <rPh sb="4" eb="6">
      <t>シエン</t>
    </rPh>
    <phoneticPr fontId="8"/>
  </si>
  <si>
    <t>就労定着支援員</t>
    <rPh sb="0" eb="2">
      <t>シュウロウ</t>
    </rPh>
    <rPh sb="2" eb="7">
      <t>テイチャクシエンイン</t>
    </rPh>
    <phoneticPr fontId="3"/>
  </si>
  <si>
    <t>就労定着支援員</t>
    <rPh sb="0" eb="4">
      <t>シュウロウテイチャク</t>
    </rPh>
    <rPh sb="4" eb="7">
      <t>シエンイン</t>
    </rPh>
    <phoneticPr fontId="3"/>
  </si>
  <si>
    <t>自立生活援助</t>
    <rPh sb="0" eb="2">
      <t>ジリツ</t>
    </rPh>
    <rPh sb="2" eb="4">
      <t>セイカツ</t>
    </rPh>
    <rPh sb="4" eb="6">
      <t>エンジョ</t>
    </rPh>
    <phoneticPr fontId="8"/>
  </si>
  <si>
    <t>地域生活支援員</t>
    <rPh sb="0" eb="7">
      <t>チイキセイカツシエンイン</t>
    </rPh>
    <phoneticPr fontId="3"/>
  </si>
  <si>
    <t>サービス管理責任者
（常勤の場合）</t>
    <rPh sb="4" eb="6">
      <t>カンリ</t>
    </rPh>
    <rPh sb="6" eb="9">
      <t>セキニンシャ</t>
    </rPh>
    <rPh sb="11" eb="13">
      <t>ジョウキン</t>
    </rPh>
    <rPh sb="14" eb="16">
      <t>バアイ</t>
    </rPh>
    <phoneticPr fontId="3"/>
  </si>
  <si>
    <t>サービス管理責任者
（常勤以外の場合）</t>
    <rPh sb="4" eb="6">
      <t>カンリ</t>
    </rPh>
    <rPh sb="6" eb="8">
      <t>セキニン</t>
    </rPh>
    <rPh sb="8" eb="9">
      <t>シャ</t>
    </rPh>
    <rPh sb="11" eb="13">
      <t>ジョウキン</t>
    </rPh>
    <rPh sb="13" eb="15">
      <t>イガイ</t>
    </rPh>
    <rPh sb="16" eb="18">
      <t>バアイ</t>
    </rPh>
    <phoneticPr fontId="3"/>
  </si>
  <si>
    <t>地域生活支援員の数の標準</t>
    <rPh sb="0" eb="7">
      <t>チイキセイカツシエンイン</t>
    </rPh>
    <rPh sb="8" eb="9">
      <t>カズ</t>
    </rPh>
    <rPh sb="10" eb="12">
      <t>ヒョウジュン</t>
    </rPh>
    <phoneticPr fontId="3"/>
  </si>
  <si>
    <t>共同生活援助・介護サービス包括型</t>
    <rPh sb="0" eb="2">
      <t>キョウドウ</t>
    </rPh>
    <rPh sb="2" eb="4">
      <t>セイカツ</t>
    </rPh>
    <rPh sb="4" eb="6">
      <t>エンジョ</t>
    </rPh>
    <phoneticPr fontId="8"/>
  </si>
  <si>
    <t>世話人</t>
    <rPh sb="0" eb="3">
      <t>セワニン</t>
    </rPh>
    <phoneticPr fontId="3"/>
  </si>
  <si>
    <t>個人居宅介護
利用者数平均</t>
    <rPh sb="11" eb="13">
      <t>ヘイキン</t>
    </rPh>
    <phoneticPr fontId="3"/>
  </si>
  <si>
    <t>　区分１以下の延べ利用者数</t>
    <rPh sb="1" eb="3">
      <t>クブン</t>
    </rPh>
    <rPh sb="4" eb="6">
      <t>イカ</t>
    </rPh>
    <rPh sb="7" eb="8">
      <t>ノ</t>
    </rPh>
    <rPh sb="9" eb="13">
      <t>リヨウシャスウ</t>
    </rPh>
    <phoneticPr fontId="3"/>
  </si>
  <si>
    <t>個人居宅介護利用者数</t>
    <rPh sb="0" eb="2">
      <t>コジン</t>
    </rPh>
    <rPh sb="2" eb="4">
      <t>キョタク</t>
    </rPh>
    <rPh sb="4" eb="6">
      <t>カイゴ</t>
    </rPh>
    <rPh sb="6" eb="9">
      <t>リヨウシャ</t>
    </rPh>
    <rPh sb="9" eb="10">
      <t>スウ</t>
    </rPh>
    <phoneticPr fontId="3"/>
  </si>
  <si>
    <t>個人居宅介護利用者数</t>
    <rPh sb="0" eb="2">
      <t>コジン</t>
    </rPh>
    <rPh sb="9" eb="10">
      <t>スウ</t>
    </rPh>
    <phoneticPr fontId="3"/>
  </si>
  <si>
    <t>生活支援員</t>
  </si>
  <si>
    <t>共同生活援助・外部サービス利用型</t>
    <rPh sb="0" eb="2">
      <t>キョウドウ</t>
    </rPh>
    <rPh sb="2" eb="4">
      <t>セイカツ</t>
    </rPh>
    <rPh sb="4" eb="6">
      <t>エンジョ</t>
    </rPh>
    <phoneticPr fontId="8"/>
  </si>
  <si>
    <t>共同生活援助・日中サービス支援型</t>
    <rPh sb="0" eb="2">
      <t>キョウドウ</t>
    </rPh>
    <rPh sb="2" eb="4">
      <t>セイカツ</t>
    </rPh>
    <rPh sb="4" eb="6">
      <t>エンジョ</t>
    </rPh>
    <phoneticPr fontId="8"/>
  </si>
  <si>
    <t>夜間支援従事者</t>
    <rPh sb="0" eb="2">
      <t>ヤカン</t>
    </rPh>
    <rPh sb="2" eb="4">
      <t>シエン</t>
    </rPh>
    <rPh sb="4" eb="7">
      <t>ジュウジシャ</t>
    </rPh>
    <phoneticPr fontId="3"/>
  </si>
  <si>
    <t>障害者支援施設</t>
    <rPh sb="0" eb="3">
      <t>ショウガイシャ</t>
    </rPh>
    <rPh sb="3" eb="5">
      <t>シエン</t>
    </rPh>
    <rPh sb="5" eb="7">
      <t>シセツ</t>
    </rPh>
    <phoneticPr fontId="8"/>
  </si>
  <si>
    <t>E</t>
    <phoneticPr fontId="3"/>
  </si>
  <si>
    <t>＜実施する昼間サービス＞※実施するものに「○」を選択してください。</t>
    <rPh sb="1" eb="3">
      <t>ジッシ</t>
    </rPh>
    <rPh sb="5" eb="7">
      <t>チュウカン</t>
    </rPh>
    <rPh sb="13" eb="15">
      <t>ジッシ</t>
    </rPh>
    <rPh sb="24" eb="26">
      <t>センタク</t>
    </rPh>
    <phoneticPr fontId="8"/>
  </si>
  <si>
    <t>サービス類型</t>
    <rPh sb="4" eb="6">
      <t>ルイケイ</t>
    </rPh>
    <phoneticPr fontId="3"/>
  </si>
  <si>
    <t>生活介護</t>
    <rPh sb="0" eb="4">
      <t>セイカツカイゴ</t>
    </rPh>
    <phoneticPr fontId="3"/>
  </si>
  <si>
    <t>自立訓練（機能訓練）</t>
    <phoneticPr fontId="3"/>
  </si>
  <si>
    <t>自立訓練（生活訓練）</t>
    <rPh sb="5" eb="7">
      <t>セイカツ</t>
    </rPh>
    <phoneticPr fontId="3"/>
  </si>
  <si>
    <t>就労移行支援</t>
    <rPh sb="0" eb="2">
      <t>シュウロウ</t>
    </rPh>
    <rPh sb="2" eb="4">
      <t>イコウ</t>
    </rPh>
    <rPh sb="4" eb="6">
      <t>シエン</t>
    </rPh>
    <phoneticPr fontId="3"/>
  </si>
  <si>
    <t>就労継続支援B型</t>
    <rPh sb="0" eb="4">
      <t>シュウロウケイゾク</t>
    </rPh>
    <rPh sb="4" eb="6">
      <t>シエン</t>
    </rPh>
    <rPh sb="7" eb="8">
      <t>ガタ</t>
    </rPh>
    <phoneticPr fontId="3"/>
  </si>
  <si>
    <t>実施の有無</t>
    <rPh sb="0" eb="2">
      <t>ジッシ</t>
    </rPh>
    <rPh sb="3" eb="5">
      <t>ウム</t>
    </rPh>
    <phoneticPr fontId="3"/>
  </si>
  <si>
    <t>当該サービスを利用する利用者の数</t>
    <rPh sb="0" eb="2">
      <t>トウガイ</t>
    </rPh>
    <rPh sb="7" eb="9">
      <t>リヨウ</t>
    </rPh>
    <rPh sb="11" eb="14">
      <t>リヨウシャ</t>
    </rPh>
    <rPh sb="15" eb="16">
      <t>カズ</t>
    </rPh>
    <phoneticPr fontId="3"/>
  </si>
  <si>
    <t>＜生活介護に係る前年度の平均値＞※新規申請の場合は推定数を記載ください。</t>
    <rPh sb="1" eb="3">
      <t>セイカツ</t>
    </rPh>
    <rPh sb="3" eb="5">
      <t>カイゴ</t>
    </rPh>
    <rPh sb="6" eb="7">
      <t>カカ</t>
    </rPh>
    <rPh sb="8" eb="9">
      <t>ゼン</t>
    </rPh>
    <rPh sb="9" eb="11">
      <t>ネンド</t>
    </rPh>
    <rPh sb="12" eb="15">
      <t>ヘイキンチ</t>
    </rPh>
    <rPh sb="17" eb="19">
      <t>シンキ</t>
    </rPh>
    <rPh sb="19" eb="21">
      <t>シンセイ</t>
    </rPh>
    <rPh sb="22" eb="24">
      <t>バアイ</t>
    </rPh>
    <rPh sb="25" eb="28">
      <t>スイテイスウ</t>
    </rPh>
    <rPh sb="29" eb="31">
      <t>キサイ</t>
    </rPh>
    <phoneticPr fontId="8"/>
  </si>
  <si>
    <t>看護職員、理学療法士、作業療法士又は言語聴覚士及び生活支援員（生活介護を実施する場合）</t>
    <rPh sb="0" eb="2">
      <t>カンゴ</t>
    </rPh>
    <rPh sb="2" eb="4">
      <t>ショクイン</t>
    </rPh>
    <rPh sb="5" eb="7">
      <t>リガク</t>
    </rPh>
    <rPh sb="7" eb="10">
      <t>リョウホウシ</t>
    </rPh>
    <rPh sb="11" eb="13">
      <t>サギョウ</t>
    </rPh>
    <rPh sb="13" eb="16">
      <t>リョウホウシ</t>
    </rPh>
    <rPh sb="16" eb="17">
      <t>マタ</t>
    </rPh>
    <rPh sb="18" eb="20">
      <t>ゲンゴ</t>
    </rPh>
    <rPh sb="20" eb="23">
      <t>チョウカクシ</t>
    </rPh>
    <rPh sb="23" eb="24">
      <t>オヨ</t>
    </rPh>
    <rPh sb="25" eb="27">
      <t>セイカツ</t>
    </rPh>
    <rPh sb="27" eb="29">
      <t>シエン</t>
    </rPh>
    <rPh sb="29" eb="30">
      <t>イン</t>
    </rPh>
    <rPh sb="31" eb="35">
      <t>セイカツカイゴ</t>
    </rPh>
    <rPh sb="36" eb="38">
      <t>ジッシ</t>
    </rPh>
    <rPh sb="40" eb="42">
      <t>バアイ</t>
    </rPh>
    <phoneticPr fontId="3"/>
  </si>
  <si>
    <t>看護職員、理学療法士、作業療法士又は言語聴覚士及び生活支援員（機能訓練を実施する場合）</t>
    <rPh sb="16" eb="17">
      <t>マタ</t>
    </rPh>
    <rPh sb="18" eb="20">
      <t>ゲンゴ</t>
    </rPh>
    <rPh sb="20" eb="23">
      <t>チョウカクシ</t>
    </rPh>
    <rPh sb="31" eb="35">
      <t>キノウクンレン</t>
    </rPh>
    <rPh sb="36" eb="38">
      <t>ジッシ</t>
    </rPh>
    <rPh sb="40" eb="42">
      <t>バアイ</t>
    </rPh>
    <phoneticPr fontId="3"/>
  </si>
  <si>
    <t>生活支援員及び看護職員（生活訓練を実施する場合）</t>
    <rPh sb="0" eb="5">
      <t>セイカツシエンイン</t>
    </rPh>
    <rPh sb="5" eb="6">
      <t>オヨ</t>
    </rPh>
    <rPh sb="12" eb="14">
      <t>セイカツ</t>
    </rPh>
    <rPh sb="14" eb="16">
      <t>クンレン</t>
    </rPh>
    <rPh sb="17" eb="19">
      <t>ジッシ</t>
    </rPh>
    <rPh sb="21" eb="23">
      <t>バアイ</t>
    </rPh>
    <phoneticPr fontId="3"/>
  </si>
  <si>
    <t>職業指導員及び生活支援員（就労移行支援を実施する場合）</t>
    <rPh sb="0" eb="2">
      <t>ショクギョウ</t>
    </rPh>
    <rPh sb="2" eb="4">
      <t>シドウ</t>
    </rPh>
    <rPh sb="4" eb="5">
      <t>イン</t>
    </rPh>
    <rPh sb="5" eb="6">
      <t>オヨ</t>
    </rPh>
    <rPh sb="7" eb="9">
      <t>セイカツ</t>
    </rPh>
    <rPh sb="9" eb="11">
      <t>シエン</t>
    </rPh>
    <rPh sb="11" eb="12">
      <t>イン</t>
    </rPh>
    <rPh sb="13" eb="15">
      <t>シュウロウ</t>
    </rPh>
    <rPh sb="15" eb="17">
      <t>イコウ</t>
    </rPh>
    <rPh sb="17" eb="19">
      <t>シエン</t>
    </rPh>
    <rPh sb="20" eb="22">
      <t>ジッシ</t>
    </rPh>
    <rPh sb="24" eb="26">
      <t>バアイ</t>
    </rPh>
    <phoneticPr fontId="3"/>
  </si>
  <si>
    <t>就労支援員（就労移行支援を実施する場合）</t>
    <rPh sb="0" eb="2">
      <t>シュウロウ</t>
    </rPh>
    <rPh sb="2" eb="4">
      <t>シエン</t>
    </rPh>
    <rPh sb="4" eb="5">
      <t>イン</t>
    </rPh>
    <rPh sb="6" eb="8">
      <t>シュウロウ</t>
    </rPh>
    <rPh sb="8" eb="10">
      <t>イコウ</t>
    </rPh>
    <rPh sb="10" eb="12">
      <t>シエン</t>
    </rPh>
    <rPh sb="13" eb="15">
      <t>ジッシ</t>
    </rPh>
    <rPh sb="17" eb="19">
      <t>バアイ</t>
    </rPh>
    <phoneticPr fontId="3"/>
  </si>
  <si>
    <t>職業指導員及び生活支援員（就労継続支援B型を実施する場合）</t>
    <rPh sb="0" eb="2">
      <t>ショクギョウ</t>
    </rPh>
    <rPh sb="2" eb="4">
      <t>シドウ</t>
    </rPh>
    <rPh sb="4" eb="5">
      <t>イン</t>
    </rPh>
    <rPh sb="5" eb="6">
      <t>オヨ</t>
    </rPh>
    <rPh sb="7" eb="9">
      <t>セイカツ</t>
    </rPh>
    <rPh sb="9" eb="11">
      <t>シエン</t>
    </rPh>
    <rPh sb="11" eb="12">
      <t>イン</t>
    </rPh>
    <rPh sb="13" eb="15">
      <t>シュウロウ</t>
    </rPh>
    <rPh sb="15" eb="17">
      <t>ケイゾク</t>
    </rPh>
    <rPh sb="17" eb="19">
      <t>シエン</t>
    </rPh>
    <rPh sb="20" eb="21">
      <t>ガタ</t>
    </rPh>
    <rPh sb="22" eb="24">
      <t>ジッシ</t>
    </rPh>
    <rPh sb="26" eb="28">
      <t>バアイ</t>
    </rPh>
    <phoneticPr fontId="3"/>
  </si>
  <si>
    <t>一般相談支援事業</t>
    <rPh sb="2" eb="4">
      <t>ソウダン</t>
    </rPh>
    <rPh sb="4" eb="6">
      <t>シエン</t>
    </rPh>
    <rPh sb="6" eb="8">
      <t>ジギョウ</t>
    </rPh>
    <phoneticPr fontId="8"/>
  </si>
  <si>
    <t>特定相談支援・障害児相談支援</t>
    <rPh sb="0" eb="2">
      <t>トクテイ</t>
    </rPh>
    <rPh sb="2" eb="4">
      <t>ソウダン</t>
    </rPh>
    <rPh sb="4" eb="6">
      <t>シエン</t>
    </rPh>
    <rPh sb="7" eb="10">
      <t>ショウガイジ</t>
    </rPh>
    <rPh sb="10" eb="12">
      <t>ソウダン</t>
    </rPh>
    <rPh sb="12" eb="14">
      <t>シエン</t>
    </rPh>
    <phoneticPr fontId="1"/>
  </si>
  <si>
    <t>相談支援専門員</t>
    <rPh sb="0" eb="7">
      <t>ソウダンシエンセンモンイン</t>
    </rPh>
    <phoneticPr fontId="3"/>
  </si>
  <si>
    <t>相談支援員</t>
    <rPh sb="0" eb="2">
      <t>ソウダン</t>
    </rPh>
    <rPh sb="2" eb="5">
      <t>シエンイン</t>
    </rPh>
    <phoneticPr fontId="3"/>
  </si>
  <si>
    <t>＜前６か月の平均値＞※新規申請の場合は推定数を記載ください。</t>
    <rPh sb="1" eb="2">
      <t>ゼン</t>
    </rPh>
    <rPh sb="4" eb="5">
      <t>ゲツ</t>
    </rPh>
    <rPh sb="6" eb="9">
      <t>ヘイキンチ</t>
    </rPh>
    <rPh sb="11" eb="13">
      <t>シンキ</t>
    </rPh>
    <rPh sb="13" eb="15">
      <t>シンセイ</t>
    </rPh>
    <rPh sb="16" eb="18">
      <t>バアイ</t>
    </rPh>
    <rPh sb="19" eb="22">
      <t>スイテイスウ</t>
    </rPh>
    <rPh sb="23" eb="25">
      <t>キサイ</t>
    </rPh>
    <phoneticPr fontId="8"/>
  </si>
  <si>
    <t>相談支援専門員の数の標準</t>
    <rPh sb="0" eb="2">
      <t>ソウダン</t>
    </rPh>
    <rPh sb="2" eb="7">
      <t>シエンセンモンイン</t>
    </rPh>
    <rPh sb="8" eb="9">
      <t>カズ</t>
    </rPh>
    <rPh sb="10" eb="12">
      <t>ヒョウジュン</t>
    </rPh>
    <phoneticPr fontId="8"/>
  </si>
  <si>
    <t>障害者</t>
    <rPh sb="0" eb="3">
      <t>ショウガイシャ</t>
    </rPh>
    <phoneticPr fontId="8"/>
  </si>
  <si>
    <t>障害児</t>
    <rPh sb="0" eb="3">
      <t>ショウガイジ</t>
    </rPh>
    <phoneticPr fontId="4"/>
  </si>
  <si>
    <t>児童発達支援・放課後等デイサービス</t>
    <rPh sb="0" eb="2">
      <t>ジドウ</t>
    </rPh>
    <rPh sb="2" eb="4">
      <t>ハッタツ</t>
    </rPh>
    <rPh sb="4" eb="6">
      <t>シエン</t>
    </rPh>
    <rPh sb="7" eb="11">
      <t>ホウカゴトウ</t>
    </rPh>
    <phoneticPr fontId="1"/>
  </si>
  <si>
    <t>(2)-2　定員</t>
    <rPh sb="6" eb="8">
      <t>テイイン</t>
    </rPh>
    <phoneticPr fontId="3"/>
  </si>
  <si>
    <t>児童発達支援管理責任者</t>
  </si>
  <si>
    <t>児童指導員</t>
    <rPh sb="0" eb="2">
      <t>ジドウ</t>
    </rPh>
    <rPh sb="2" eb="5">
      <t>シドウイン</t>
    </rPh>
    <phoneticPr fontId="3"/>
  </si>
  <si>
    <t>保育士</t>
    <rPh sb="0" eb="3">
      <t>ホイクシ</t>
    </rPh>
    <phoneticPr fontId="3"/>
  </si>
  <si>
    <t>その他職員</t>
    <rPh sb="2" eb="3">
      <t>タ</t>
    </rPh>
    <rPh sb="3" eb="5">
      <t>ショクイン</t>
    </rPh>
    <phoneticPr fontId="3"/>
  </si>
  <si>
    <r>
      <t>＜人員基準に関する実人数集計＞</t>
    </r>
    <r>
      <rPr>
        <sz val="10"/>
        <color rgb="FFC00000"/>
        <rFont val="ＭＳ ゴシック"/>
        <family val="3"/>
        <charset val="128"/>
      </rPr>
      <t>　※手入力いただいたものはすべて「その他職員」にまとめられます。</t>
    </r>
    <rPh sb="1" eb="5">
      <t>ジンインキジュン</t>
    </rPh>
    <rPh sb="6" eb="7">
      <t>カン</t>
    </rPh>
    <rPh sb="9" eb="10">
      <t>ジツ</t>
    </rPh>
    <rPh sb="10" eb="12">
      <t>ニンズウ</t>
    </rPh>
    <rPh sb="12" eb="14">
      <t>シュウケイ</t>
    </rPh>
    <rPh sb="17" eb="20">
      <t>テニュウリョク</t>
    </rPh>
    <rPh sb="34" eb="37">
      <t>タショクイン</t>
    </rPh>
    <phoneticPr fontId="8"/>
  </si>
  <si>
    <t>　(2) -2　定員数を入力してください。</t>
    <rPh sb="8" eb="11">
      <t>テイインスウ</t>
    </rPh>
    <rPh sb="12" eb="14">
      <t>ニュウリョク</t>
    </rPh>
    <phoneticPr fontId="3"/>
  </si>
  <si>
    <t xml:space="preserve"> 　　 保有資格を全て記入するのではなく、人員基準・加配加算上、求められる資格等を入力してください。</t>
    <rPh sb="4" eb="6">
      <t>ホユウ</t>
    </rPh>
    <rPh sb="6" eb="8">
      <t>シカク</t>
    </rPh>
    <rPh sb="9" eb="10">
      <t>スベ</t>
    </rPh>
    <rPh sb="11" eb="13">
      <t>キニュウ</t>
    </rPh>
    <rPh sb="21" eb="23">
      <t>ジンイン</t>
    </rPh>
    <rPh sb="23" eb="25">
      <t>キジュン</t>
    </rPh>
    <rPh sb="30" eb="31">
      <t>ジョウ</t>
    </rPh>
    <rPh sb="32" eb="33">
      <t>モト</t>
    </rPh>
    <rPh sb="37" eb="39">
      <t>シカク</t>
    </rPh>
    <rPh sb="39" eb="40">
      <t>トウ</t>
    </rPh>
    <rPh sb="41" eb="43">
      <t>ニュウリョク</t>
    </rPh>
    <phoneticPr fontId="1"/>
  </si>
  <si>
    <t>児童発達支援・主として重症心身障害児を対象とする場合</t>
    <rPh sb="0" eb="6">
      <t>ジドウハッタツシエン</t>
    </rPh>
    <rPh sb="7" eb="8">
      <t>シュ</t>
    </rPh>
    <rPh sb="11" eb="13">
      <t>ジュウショウ</t>
    </rPh>
    <rPh sb="13" eb="15">
      <t>シンシン</t>
    </rPh>
    <rPh sb="15" eb="18">
      <t>ショウガイジ</t>
    </rPh>
    <rPh sb="19" eb="21">
      <t>タイショウ</t>
    </rPh>
    <rPh sb="24" eb="26">
      <t>バアイ</t>
    </rPh>
    <phoneticPr fontId="3"/>
  </si>
  <si>
    <t>嘱託医</t>
    <rPh sb="0" eb="2">
      <t>ショクタク</t>
    </rPh>
    <phoneticPr fontId="3"/>
  </si>
  <si>
    <t>児童発達支援・児童発達支援センターであるもの</t>
    <rPh sb="0" eb="6">
      <t>ジドウハッタツシエン</t>
    </rPh>
    <rPh sb="7" eb="11">
      <t>ジドウハッタツ</t>
    </rPh>
    <rPh sb="11" eb="13">
      <t>シエン</t>
    </rPh>
    <phoneticPr fontId="3"/>
  </si>
  <si>
    <t>居宅訪問型児童発達支援</t>
    <rPh sb="0" eb="2">
      <t>キョタク</t>
    </rPh>
    <rPh sb="2" eb="4">
      <t>ホウモン</t>
    </rPh>
    <rPh sb="4" eb="5">
      <t>ガタ</t>
    </rPh>
    <rPh sb="5" eb="7">
      <t>ジドウ</t>
    </rPh>
    <rPh sb="7" eb="9">
      <t>ハッタツ</t>
    </rPh>
    <rPh sb="9" eb="11">
      <t>シエン</t>
    </rPh>
    <phoneticPr fontId="1"/>
  </si>
  <si>
    <t>児童発達支援管理責任者</t>
    <rPh sb="0" eb="2">
      <t>ジドウ</t>
    </rPh>
    <rPh sb="2" eb="6">
      <t>ハッタツシエン</t>
    </rPh>
    <rPh sb="6" eb="8">
      <t>カンリ</t>
    </rPh>
    <rPh sb="8" eb="11">
      <t>セキニンシャ</t>
    </rPh>
    <phoneticPr fontId="3"/>
  </si>
  <si>
    <t>訪問支援員</t>
    <rPh sb="0" eb="2">
      <t>ホウモン</t>
    </rPh>
    <rPh sb="2" eb="5">
      <t>シエンイン</t>
    </rPh>
    <phoneticPr fontId="3"/>
  </si>
  <si>
    <t>保育所等訪問支援</t>
    <rPh sb="0" eb="3">
      <t>ホイクショ</t>
    </rPh>
    <rPh sb="3" eb="4">
      <t>トウ</t>
    </rPh>
    <rPh sb="4" eb="6">
      <t>ホウモン</t>
    </rPh>
    <rPh sb="6" eb="8">
      <t>シエン</t>
    </rPh>
    <phoneticPr fontId="1"/>
  </si>
  <si>
    <t>福祉型障害児入所施設</t>
    <rPh sb="0" eb="3">
      <t>フクシガタ</t>
    </rPh>
    <rPh sb="3" eb="6">
      <t>ショウガイジ</t>
    </rPh>
    <rPh sb="6" eb="8">
      <t>ニュウショ</t>
    </rPh>
    <rPh sb="8" eb="10">
      <t>シセツ</t>
    </rPh>
    <phoneticPr fontId="1"/>
  </si>
  <si>
    <t>心理担当職員</t>
    <rPh sb="0" eb="6">
      <t>シンリタントウショクイン</t>
    </rPh>
    <phoneticPr fontId="3"/>
  </si>
  <si>
    <t>B</t>
    <phoneticPr fontId="3"/>
  </si>
  <si>
    <t>＜主な対象者及び障害児の数＞</t>
    <rPh sb="1" eb="2">
      <t>オモ</t>
    </rPh>
    <rPh sb="3" eb="5">
      <t>タイショウ</t>
    </rPh>
    <rPh sb="5" eb="6">
      <t>シャ</t>
    </rPh>
    <rPh sb="6" eb="7">
      <t>オヨ</t>
    </rPh>
    <rPh sb="8" eb="11">
      <t>ショウガイジ</t>
    </rPh>
    <rPh sb="12" eb="13">
      <t>カズ</t>
    </rPh>
    <phoneticPr fontId="8"/>
  </si>
  <si>
    <t>主な対象者の区分</t>
    <rPh sb="0" eb="1">
      <t>オモ</t>
    </rPh>
    <rPh sb="2" eb="5">
      <t>タイショウシャ</t>
    </rPh>
    <rPh sb="6" eb="8">
      <t>クブン</t>
    </rPh>
    <phoneticPr fontId="3"/>
  </si>
  <si>
    <t>障害児の数</t>
    <rPh sb="0" eb="3">
      <t>ショウガイジ</t>
    </rPh>
    <rPh sb="4" eb="5">
      <t>カズ</t>
    </rPh>
    <phoneticPr fontId="3"/>
  </si>
  <si>
    <t>主として盲ろうあ児を入所させる福祉型障害児入所施設</t>
    <phoneticPr fontId="3"/>
  </si>
  <si>
    <t>児童指導員及び保育士</t>
    <rPh sb="0" eb="2">
      <t>ジドウ</t>
    </rPh>
    <rPh sb="2" eb="5">
      <t>シドウイン</t>
    </rPh>
    <rPh sb="5" eb="6">
      <t>オヨ</t>
    </rPh>
    <rPh sb="7" eb="10">
      <t>ホイクシ</t>
    </rPh>
    <phoneticPr fontId="3"/>
  </si>
  <si>
    <t>医療型障害児入所施設</t>
    <rPh sb="0" eb="2">
      <t>イリョウ</t>
    </rPh>
    <rPh sb="2" eb="3">
      <t>ガタ</t>
    </rPh>
    <rPh sb="3" eb="6">
      <t>ショウガイジ</t>
    </rPh>
    <rPh sb="6" eb="8">
      <t>ニュウショ</t>
    </rPh>
    <rPh sb="8" eb="10">
      <t>シセツ</t>
    </rPh>
    <phoneticPr fontId="1"/>
  </si>
  <si>
    <t>障害児である乳幼児の数</t>
    <rPh sb="0" eb="3">
      <t>ショウガイジ</t>
    </rPh>
    <rPh sb="6" eb="9">
      <t>ニュウヨウジ</t>
    </rPh>
    <rPh sb="10" eb="11">
      <t>カズ</t>
    </rPh>
    <phoneticPr fontId="3"/>
  </si>
  <si>
    <t>障害児である少年の数</t>
    <rPh sb="0" eb="3">
      <t>ショウガイジ</t>
    </rPh>
    <rPh sb="6" eb="8">
      <t>ショウネン</t>
    </rPh>
    <rPh sb="9" eb="10">
      <t>カズ</t>
    </rPh>
    <phoneticPr fontId="3"/>
  </si>
  <si>
    <t>主として知的障害のある児童を入所させる福祉型障害児入所施設</t>
  </si>
  <si>
    <t>職種①</t>
    <rPh sb="0" eb="2">
      <t>ショクシュ</t>
    </rPh>
    <phoneticPr fontId="3"/>
  </si>
  <si>
    <t>職種②</t>
    <rPh sb="0" eb="2">
      <t>ショクシュ</t>
    </rPh>
    <phoneticPr fontId="3"/>
  </si>
  <si>
    <t>職種③</t>
    <rPh sb="0" eb="2">
      <t>ショクシュ</t>
    </rPh>
    <phoneticPr fontId="3"/>
  </si>
  <si>
    <t>職種④</t>
    <rPh sb="0" eb="2">
      <t>ショクシュ</t>
    </rPh>
    <phoneticPr fontId="3"/>
  </si>
  <si>
    <t>職種⑤</t>
    <rPh sb="0" eb="2">
      <t>ショクシュ</t>
    </rPh>
    <phoneticPr fontId="3"/>
  </si>
  <si>
    <t>職種⑥</t>
    <rPh sb="0" eb="2">
      <t>ショクシュ</t>
    </rPh>
    <phoneticPr fontId="3"/>
  </si>
  <si>
    <t>職種⑦</t>
    <rPh sb="0" eb="2">
      <t>ショクシュ</t>
    </rPh>
    <phoneticPr fontId="3"/>
  </si>
  <si>
    <t>職種⑧</t>
    <rPh sb="0" eb="2">
      <t>ショクシュ</t>
    </rPh>
    <phoneticPr fontId="3"/>
  </si>
  <si>
    <t>職種⑨</t>
    <phoneticPr fontId="3"/>
  </si>
  <si>
    <t>職種⑩</t>
    <phoneticPr fontId="3"/>
  </si>
  <si>
    <t>居宅介護</t>
    <phoneticPr fontId="8"/>
  </si>
  <si>
    <t>作業療法士</t>
    <rPh sb="0" eb="5">
      <t>サギョウリョウホウシ</t>
    </rPh>
    <phoneticPr fontId="3"/>
  </si>
  <si>
    <t>言語聴覚士</t>
    <rPh sb="0" eb="2">
      <t>ゲンゴ</t>
    </rPh>
    <rPh sb="2" eb="5">
      <t>チョウカクシ</t>
    </rPh>
    <phoneticPr fontId="3"/>
  </si>
  <si>
    <t>短期入所・併設型</t>
    <rPh sb="0" eb="2">
      <t>タンキ</t>
    </rPh>
    <rPh sb="2" eb="4">
      <t>ニュウショ</t>
    </rPh>
    <rPh sb="5" eb="8">
      <t>ヘイセツガタ</t>
    </rPh>
    <phoneticPr fontId="8"/>
  </si>
  <si>
    <t>短期入所・空床利用型</t>
    <rPh sb="0" eb="2">
      <t>タンキ</t>
    </rPh>
    <rPh sb="2" eb="4">
      <t>ニュウショ</t>
    </rPh>
    <rPh sb="5" eb="7">
      <t>クウショウ</t>
    </rPh>
    <rPh sb="7" eb="10">
      <t>リヨウガタ</t>
    </rPh>
    <phoneticPr fontId="8"/>
  </si>
  <si>
    <t>短期入所・単独型</t>
    <rPh sb="0" eb="2">
      <t>タンキ</t>
    </rPh>
    <rPh sb="2" eb="4">
      <t>ニュウショ</t>
    </rPh>
    <rPh sb="5" eb="8">
      <t>タンドクガタ</t>
    </rPh>
    <phoneticPr fontId="8"/>
  </si>
  <si>
    <t>重度障害者等包括支援</t>
    <rPh sb="0" eb="2">
      <t>ジュウド</t>
    </rPh>
    <rPh sb="2" eb="5">
      <t>ショウガイシャ</t>
    </rPh>
    <rPh sb="5" eb="6">
      <t>ナド</t>
    </rPh>
    <rPh sb="6" eb="8">
      <t>ホウカツ</t>
    </rPh>
    <rPh sb="8" eb="10">
      <t>シエン</t>
    </rPh>
    <phoneticPr fontId="8"/>
  </si>
  <si>
    <t>夜間支援従事者</t>
    <rPh sb="0" eb="7">
      <t>ヤカンシエンジュウジシャ</t>
    </rPh>
    <phoneticPr fontId="3"/>
  </si>
  <si>
    <t>就労支援員</t>
    <rPh sb="0" eb="2">
      <t>シュウロウ</t>
    </rPh>
    <rPh sb="2" eb="5">
      <t>シエンイン</t>
    </rPh>
    <phoneticPr fontId="3"/>
  </si>
  <si>
    <t>職業指導員</t>
    <rPh sb="0" eb="2">
      <t>ショクギョウ</t>
    </rPh>
    <rPh sb="2" eb="4">
      <t>シドウ</t>
    </rPh>
    <rPh sb="4" eb="5">
      <t>イン</t>
    </rPh>
    <phoneticPr fontId="3"/>
  </si>
  <si>
    <t>就労選択支援</t>
    <rPh sb="0" eb="2">
      <t>シュウロウ</t>
    </rPh>
    <rPh sb="2" eb="4">
      <t>センタク</t>
    </rPh>
    <rPh sb="4" eb="6">
      <t>シエン</t>
    </rPh>
    <phoneticPr fontId="3"/>
  </si>
  <si>
    <t>機能訓練担当職員</t>
    <rPh sb="0" eb="4">
      <t>キノウクンレン</t>
    </rPh>
    <rPh sb="4" eb="6">
      <t>タントウ</t>
    </rPh>
    <rPh sb="6" eb="8">
      <t>ショクイン</t>
    </rPh>
    <phoneticPr fontId="3"/>
  </si>
  <si>
    <t>栄養士</t>
    <rPh sb="0" eb="3">
      <t>エイヨウシ</t>
    </rPh>
    <phoneticPr fontId="3"/>
  </si>
  <si>
    <t>調理員</t>
    <rPh sb="0" eb="3">
      <t>チョウリイン</t>
    </rPh>
    <phoneticPr fontId="3"/>
  </si>
  <si>
    <t>理学療法士又は作業療法士</t>
    <rPh sb="0" eb="5">
      <t>リガクリョウホウシ</t>
    </rPh>
    <rPh sb="5" eb="6">
      <t>マタ</t>
    </rPh>
    <rPh sb="7" eb="12">
      <t>サギョウリョウホウシ</t>
    </rPh>
    <phoneticPr fontId="3"/>
  </si>
  <si>
    <t>職業指導員</t>
    <rPh sb="0" eb="5">
      <t>ショクギョウシドウイン</t>
    </rPh>
    <phoneticPr fontId="3"/>
  </si>
  <si>
    <t>(4)事業所における常勤の従業者が勤務すべき時間数</t>
    <rPh sb="3" eb="6">
      <t>ジギョウショ</t>
    </rPh>
    <rPh sb="10" eb="12">
      <t>ジョウキン</t>
    </rPh>
    <rPh sb="13" eb="16">
      <t>ジュウギョウシャ</t>
    </rPh>
    <rPh sb="17" eb="19">
      <t>キンム</t>
    </rPh>
    <rPh sb="22" eb="24">
      <t>ジカン</t>
    </rPh>
    <rPh sb="24" eb="25">
      <t>スウ</t>
    </rPh>
    <phoneticPr fontId="1"/>
  </si>
  <si>
    <t>(9)</t>
    <phoneticPr fontId="8"/>
  </si>
  <si>
    <t>(5)職種</t>
    <rPh sb="3" eb="5">
      <t>ショクシュ</t>
    </rPh>
    <phoneticPr fontId="8"/>
  </si>
  <si>
    <t>(6)勤務形態</t>
    <rPh sb="3" eb="5">
      <t>キンム</t>
    </rPh>
    <rPh sb="5" eb="7">
      <t>ケイタイ</t>
    </rPh>
    <phoneticPr fontId="8"/>
  </si>
  <si>
    <t>(7)資格</t>
    <rPh sb="3" eb="5">
      <t>シカク</t>
    </rPh>
    <phoneticPr fontId="8"/>
  </si>
  <si>
    <t>(8)氏名</t>
    <rPh sb="3" eb="5">
      <t>シメイ</t>
    </rPh>
    <phoneticPr fontId="8"/>
  </si>
  <si>
    <t>(10)勤務時間数合計</t>
    <rPh sb="4" eb="6">
      <t>キンム</t>
    </rPh>
    <rPh sb="6" eb="8">
      <t>ジカン</t>
    </rPh>
    <rPh sb="8" eb="9">
      <t>スウ</t>
    </rPh>
    <rPh sb="9" eb="11">
      <t>ゴウケイ</t>
    </rPh>
    <phoneticPr fontId="8"/>
  </si>
  <si>
    <t>(11)週平均の勤務時間数</t>
    <rPh sb="4" eb="7">
      <t>シュウヘイキン</t>
    </rPh>
    <rPh sb="8" eb="10">
      <t>キンム</t>
    </rPh>
    <rPh sb="10" eb="12">
      <t>ジカン</t>
    </rPh>
    <rPh sb="12" eb="13">
      <t>スウ</t>
    </rPh>
    <phoneticPr fontId="8"/>
  </si>
  <si>
    <t>(12)兼務状況
（兼務先／兼務する職務の内容）等</t>
    <phoneticPr fontId="8"/>
  </si>
  <si>
    <t>　(4) 事業所における常勤の従業者が勤務すべき時間数を入力してください。</t>
    <rPh sb="5" eb="8">
      <t>ジギョウショ</t>
    </rPh>
    <rPh sb="12" eb="14">
      <t>ジョウキン</t>
    </rPh>
    <rPh sb="15" eb="18">
      <t>ジュウギョウシャ</t>
    </rPh>
    <rPh sb="19" eb="21">
      <t>キンム</t>
    </rPh>
    <rPh sb="24" eb="26">
      <t>ジカン</t>
    </rPh>
    <rPh sb="26" eb="27">
      <t>スウ</t>
    </rPh>
    <rPh sb="28" eb="30">
      <t>ニュウリョク</t>
    </rPh>
    <phoneticPr fontId="1"/>
  </si>
  <si>
    <t>　(5) 従業者の職種を入力してください。</t>
    <rPh sb="5" eb="8">
      <t>ジュウギョウシャ</t>
    </rPh>
    <rPh sb="9" eb="11">
      <t>ショクシュ</t>
    </rPh>
    <rPh sb="12" eb="14">
      <t>ニュウリョク</t>
    </rPh>
    <phoneticPr fontId="1"/>
  </si>
  <si>
    <t>　(6) 従業者の勤務形態について、下記のうち該当する区分の記号を入力してください。</t>
    <rPh sb="5" eb="8">
      <t>ジュウギョウシャ</t>
    </rPh>
    <rPh sb="9" eb="11">
      <t>キンム</t>
    </rPh>
    <rPh sb="11" eb="13">
      <t>ケイタイ</t>
    </rPh>
    <rPh sb="18" eb="20">
      <t>カキ</t>
    </rPh>
    <rPh sb="23" eb="25">
      <t>ガイトウ</t>
    </rPh>
    <rPh sb="27" eb="29">
      <t>クブン</t>
    </rPh>
    <rPh sb="30" eb="32">
      <t>キゴウ</t>
    </rPh>
    <rPh sb="33" eb="35">
      <t>ニュウリョク</t>
    </rPh>
    <phoneticPr fontId="2"/>
  </si>
  <si>
    <t>　(7) 従業者の保有する資格を入力してください。</t>
    <rPh sb="5" eb="8">
      <t>ジュウギョウシャ</t>
    </rPh>
    <rPh sb="9" eb="11">
      <t>ホユウ</t>
    </rPh>
    <rPh sb="13" eb="15">
      <t>シカク</t>
    </rPh>
    <rPh sb="16" eb="18">
      <t>ニュウリョク</t>
    </rPh>
    <phoneticPr fontId="1"/>
  </si>
  <si>
    <t>　(8) 従業者の氏名を記入してください。</t>
    <rPh sb="5" eb="8">
      <t>ジュウギョウシャ</t>
    </rPh>
    <rPh sb="9" eb="11">
      <t>シメイ</t>
    </rPh>
    <rPh sb="12" eb="14">
      <t>キニュウ</t>
    </rPh>
    <phoneticPr fontId="1"/>
  </si>
  <si>
    <t>　(9) 申請する事業に係る従業者（管理者を含む。）の1ヶ月分の勤務時間を入力してください。</t>
    <rPh sb="5" eb="7">
      <t>シンセイ</t>
    </rPh>
    <rPh sb="9" eb="11">
      <t>ジギョウ</t>
    </rPh>
    <rPh sb="12" eb="13">
      <t>カカ</t>
    </rPh>
    <rPh sb="14" eb="17">
      <t>ジュウギョウシャ</t>
    </rPh>
    <rPh sb="18" eb="21">
      <t>カンリシャ</t>
    </rPh>
    <rPh sb="22" eb="23">
      <t>フク</t>
    </rPh>
    <rPh sb="29" eb="30">
      <t>ゲツ</t>
    </rPh>
    <rPh sb="30" eb="31">
      <t>ブン</t>
    </rPh>
    <rPh sb="32" eb="34">
      <t>キンム</t>
    </rPh>
    <rPh sb="34" eb="36">
      <t>ジカン</t>
    </rPh>
    <rPh sb="37" eb="39">
      <t>ニュウリョク</t>
    </rPh>
    <phoneticPr fontId="1"/>
  </si>
  <si>
    <t>　(9・10) 常勤の職員の休暇等については、その期間が暦年で１月を超えるものでない限り、常勤換算の計算上は勤務したものとみなすことができます。</t>
    <rPh sb="8" eb="10">
      <t>ジョウキン</t>
    </rPh>
    <rPh sb="11" eb="13">
      <t>ショクイン</t>
    </rPh>
    <rPh sb="14" eb="17">
      <t>キュウカトウ</t>
    </rPh>
    <rPh sb="25" eb="27">
      <t>キカン</t>
    </rPh>
    <rPh sb="28" eb="30">
      <t>レキネン</t>
    </rPh>
    <rPh sb="32" eb="33">
      <t>ツキ</t>
    </rPh>
    <rPh sb="34" eb="35">
      <t>コ</t>
    </rPh>
    <rPh sb="42" eb="43">
      <t>カギ</t>
    </rPh>
    <rPh sb="45" eb="49">
      <t>ジョウキンカンサン</t>
    </rPh>
    <rPh sb="50" eb="53">
      <t>ケイサンジョウ</t>
    </rPh>
    <rPh sb="54" eb="56">
      <t>キンム</t>
    </rPh>
    <phoneticPr fontId="1"/>
  </si>
  <si>
    <t xml:space="preserve"> ・本表には計算式を設定していますが、結果に誤りがないかご確認ください。</t>
    <rPh sb="2" eb="4">
      <t>ホンヒョウ</t>
    </rPh>
    <rPh sb="6" eb="9">
      <t>ケイサンシキ</t>
    </rPh>
    <rPh sb="10" eb="12">
      <t>セッテイ</t>
    </rPh>
    <rPh sb="19" eb="21">
      <t>ケッカ</t>
    </rPh>
    <rPh sb="22" eb="23">
      <t>アヤマ</t>
    </rPh>
    <rPh sb="29" eb="31">
      <t>カクニン</t>
    </rPh>
    <phoneticPr fontId="8"/>
  </si>
  <si>
    <t xml:space="preserve"> ・必要項目を満たしていれば、各事業所で使用するシフト表等をもって代替書類として差し支えありません。</t>
    <phoneticPr fontId="8"/>
  </si>
  <si>
    <t>　(11) 従業者ごとに、合計勤務時間数を入力してください。</t>
    <rPh sb="6" eb="9">
      <t>ジュウギョウシャ</t>
    </rPh>
    <rPh sb="13" eb="15">
      <t>ゴウケイ</t>
    </rPh>
    <rPh sb="15" eb="17">
      <t>キンム</t>
    </rPh>
    <rPh sb="17" eb="20">
      <t>ジカンスウ</t>
    </rPh>
    <rPh sb="21" eb="23">
      <t>ニュウリョク</t>
    </rPh>
    <phoneticPr fontId="1"/>
  </si>
  <si>
    <t>　(12) 従業者ごとに、週平均の勤務時間数を入力してください。</t>
    <rPh sb="6" eb="9">
      <t>ジュウギョウシャ</t>
    </rPh>
    <rPh sb="13" eb="16">
      <t>シュウヘイキン</t>
    </rPh>
    <rPh sb="17" eb="19">
      <t>キンム</t>
    </rPh>
    <rPh sb="19" eb="22">
      <t>ジカンスウ</t>
    </rPh>
    <rPh sb="23" eb="25">
      <t>ニュウリョク</t>
    </rPh>
    <phoneticPr fontId="1"/>
  </si>
  <si>
    <t>　(13) 申請する事業所以外の事業所・施設との兼務がある場合は、兼務先の事業所・施設の名称、兼務する職務の内容について記入してください。</t>
    <rPh sb="6" eb="8">
      <t>シンセイ</t>
    </rPh>
    <rPh sb="10" eb="13">
      <t>ジギョウショ</t>
    </rPh>
    <rPh sb="13" eb="15">
      <t>イガイ</t>
    </rPh>
    <rPh sb="16" eb="19">
      <t>ジギョウショ</t>
    </rPh>
    <rPh sb="20" eb="22">
      <t>シセツ</t>
    </rPh>
    <rPh sb="24" eb="26">
      <t>ケンム</t>
    </rPh>
    <rPh sb="29" eb="31">
      <t>バアイ</t>
    </rPh>
    <rPh sb="33" eb="35">
      <t>ケンム</t>
    </rPh>
    <rPh sb="35" eb="36">
      <t>サキ</t>
    </rPh>
    <rPh sb="37" eb="40">
      <t>ジギョウショ</t>
    </rPh>
    <rPh sb="41" eb="43">
      <t>シセツ</t>
    </rPh>
    <rPh sb="44" eb="46">
      <t>メイショウ</t>
    </rPh>
    <rPh sb="47" eb="49">
      <t>ケンム</t>
    </rPh>
    <rPh sb="51" eb="53">
      <t>ショクム</t>
    </rPh>
    <rPh sb="54" eb="56">
      <t>ナイヨウ</t>
    </rPh>
    <rPh sb="60" eb="62">
      <t>キニュウ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</si>
</sst>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0_ "/>
    <numFmt numFmtId="177" formatCode="[$-409]d;@"/>
    <numFmt numFmtId="178" formatCode="aaa"/>
    <numFmt numFmtId="179" formatCode="[$-409]d&quot;月&quot;"/>
    <numFmt numFmtId="180" formatCode="0&quot;月&quot;"/>
    <numFmt numFmtId="181" formatCode="0.0"/>
  </numFmts>
  <fonts count="36" x14ac:knownFonts="1">
    <font>
      <sz val="11"/>
      <color theme="1"/>
      <name val="游ゴシック"/>
      <family val="3"/>
      <charset val="128"/>
      <scheme val="minor"/>
    </font>
    <font>
      <sz val="10"/>
      <color indexed="8"/>
      <name val="ＭＳ ゴシック"/>
      <family val="3"/>
      <charset val="128"/>
    </font>
    <font>
      <sz val="10"/>
      <name val="ＭＳ ゴシック"/>
      <family val="3"/>
      <charset val="128"/>
    </font>
    <font>
      <sz val="6"/>
      <name val="游ゴシック"/>
      <family val="3"/>
      <charset val="128"/>
    </font>
    <font>
      <sz val="6"/>
      <name val="ＭＳ ゴシック"/>
      <family val="3"/>
      <charset val="128"/>
    </font>
    <font>
      <sz val="9"/>
      <name val="ＭＳ 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2"/>
      <name val="ＭＳ Ｐゴシック"/>
      <family val="3"/>
      <charset val="128"/>
    </font>
    <font>
      <sz val="8"/>
      <name val="ＭＳ Ｐゴシック"/>
      <family val="3"/>
      <charset val="128"/>
    </font>
    <font>
      <sz val="8"/>
      <color indexed="10"/>
      <name val="ＭＳ Ｐゴシック"/>
      <family val="3"/>
      <charset val="128"/>
    </font>
    <font>
      <sz val="12"/>
      <name val="ＭＳ ゴシック"/>
      <family val="3"/>
      <charset val="128"/>
    </font>
    <font>
      <sz val="11"/>
      <name val="ＭＳ ゴシック"/>
      <family val="3"/>
      <charset val="128"/>
    </font>
    <font>
      <sz val="8"/>
      <name val="ＭＳ ゴシック"/>
      <family val="3"/>
      <charset val="128"/>
    </font>
    <font>
      <u/>
      <sz val="9"/>
      <name val="ＭＳ ゴシック"/>
      <family val="3"/>
      <charset val="128"/>
    </font>
    <font>
      <b/>
      <u/>
      <sz val="9"/>
      <name val="ＭＳ ゴシック"/>
      <family val="3"/>
      <charset val="128"/>
    </font>
    <font>
      <b/>
      <sz val="9"/>
      <name val="ＭＳ ゴシック"/>
      <family val="3"/>
      <charset val="128"/>
    </font>
    <font>
      <b/>
      <sz val="11"/>
      <name val="ＭＳ ゴシック"/>
      <family val="3"/>
      <charset val="128"/>
    </font>
    <font>
      <sz val="10"/>
      <color theme="1"/>
      <name val="ＭＳ ゴシック"/>
      <family val="3"/>
      <charset val="128"/>
    </font>
    <font>
      <sz val="11"/>
      <color theme="1"/>
      <name val="ＭＳ ゴシック"/>
      <family val="3"/>
      <charset val="128"/>
    </font>
    <font>
      <sz val="10"/>
      <color theme="0"/>
      <name val="ＭＳ ゴシック"/>
      <family val="3"/>
      <charset val="128"/>
    </font>
    <font>
      <sz val="10"/>
      <color theme="1"/>
      <name val="游ゴシック"/>
      <family val="3"/>
      <charset val="128"/>
      <scheme val="minor"/>
    </font>
    <font>
      <sz val="9"/>
      <color theme="0"/>
      <name val="ＭＳ ゴシック"/>
      <family val="3"/>
      <charset val="128"/>
    </font>
    <font>
      <sz val="12"/>
      <color rgb="FFFF0000"/>
      <name val="ＭＳ ゴシック"/>
      <family val="3"/>
      <charset val="128"/>
    </font>
    <font>
      <sz val="11"/>
      <color rgb="FFFF0000"/>
      <name val="游ゴシック"/>
      <family val="3"/>
      <charset val="128"/>
      <scheme val="minor"/>
    </font>
    <font>
      <sz val="9"/>
      <color theme="1"/>
      <name val="ＭＳ ゴシック"/>
      <family val="3"/>
      <charset val="128"/>
    </font>
    <font>
      <sz val="11"/>
      <name val="游ゴシック"/>
      <family val="3"/>
      <charset val="128"/>
      <scheme val="minor"/>
    </font>
    <font>
      <sz val="7"/>
      <name val="ＭＳ ゴシック"/>
      <family val="3"/>
      <charset val="128"/>
    </font>
    <font>
      <sz val="9"/>
      <color rgb="FFFF0000"/>
      <name val="ＭＳ ゴシック"/>
      <family val="3"/>
      <charset val="128"/>
    </font>
    <font>
      <sz val="8"/>
      <color rgb="FFC00000"/>
      <name val="ＭＳ ゴシック"/>
      <family val="3"/>
      <charset val="128"/>
    </font>
    <font>
      <sz val="12"/>
      <color rgb="FFC00000"/>
      <name val="ＭＳ ゴシック"/>
      <family val="3"/>
      <charset val="128"/>
    </font>
    <font>
      <sz val="12"/>
      <color theme="0" tint="-0.249977111117893"/>
      <name val="ＭＳ ゴシック"/>
      <family val="3"/>
      <charset val="128"/>
    </font>
    <font>
      <sz val="10"/>
      <color rgb="FFC00000"/>
      <name val="ＭＳ ゴシック"/>
      <family val="3"/>
      <charset val="128"/>
    </font>
    <font>
      <sz val="6"/>
      <name val="游ゴシック"/>
      <family val="3"/>
      <charset val="128"/>
      <scheme val="minor"/>
    </font>
    <font>
      <sz val="10"/>
      <color rgb="FFFF0000"/>
      <name val="BIZ UDPゴシック"/>
      <family val="3"/>
      <charset val="128"/>
    </font>
  </fonts>
  <fills count="9">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s>
  <borders count="56">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bottom/>
      <diagonal/>
    </border>
    <border>
      <left/>
      <right style="medium">
        <color indexed="64"/>
      </right>
      <top/>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diagonalUp="1">
      <left style="thin">
        <color indexed="64"/>
      </left>
      <right style="thin">
        <color indexed="64"/>
      </right>
      <top/>
      <bottom style="thin">
        <color indexed="64"/>
      </bottom>
      <diagonal style="thin">
        <color indexed="64"/>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dashed">
        <color indexed="64"/>
      </bottom>
      <diagonal/>
    </border>
    <border>
      <left style="thin">
        <color indexed="64"/>
      </left>
      <right/>
      <top/>
      <bottom style="dashed">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diagonalUp="1">
      <left style="thin">
        <color indexed="64"/>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s>
  <cellStyleXfs count="10">
    <xf numFmtId="0" fontId="0" fillId="0" borderId="0">
      <alignment vertical="center"/>
    </xf>
    <xf numFmtId="0" fontId="6" fillId="0" borderId="0"/>
    <xf numFmtId="6" fontId="6" fillId="0" borderId="0" applyFont="0" applyFill="0" applyBorder="0" applyAlignment="0" applyProtection="0"/>
    <xf numFmtId="0" fontId="19" fillId="0" borderId="0">
      <alignment vertical="center"/>
    </xf>
    <xf numFmtId="0" fontId="6" fillId="0" borderId="0"/>
    <xf numFmtId="0" fontId="6" fillId="0" borderId="0"/>
    <xf numFmtId="0" fontId="20" fillId="0" borderId="0">
      <alignment vertical="center"/>
    </xf>
    <xf numFmtId="0" fontId="6" fillId="0" borderId="0">
      <alignment vertical="center"/>
    </xf>
    <xf numFmtId="0" fontId="6" fillId="0" borderId="0">
      <alignment vertical="center"/>
    </xf>
    <xf numFmtId="0" fontId="6" fillId="0" borderId="0">
      <alignment vertical="center"/>
    </xf>
  </cellStyleXfs>
  <cellXfs count="408">
    <xf numFmtId="0" fontId="0" fillId="0" borderId="0" xfId="0">
      <alignment vertical="center"/>
    </xf>
    <xf numFmtId="0" fontId="6" fillId="0" borderId="0" xfId="5" applyAlignment="1">
      <alignment horizontal="left" vertical="center"/>
    </xf>
    <xf numFmtId="0" fontId="6" fillId="0" borderId="0" xfId="5" applyAlignment="1">
      <alignment horizontal="center" vertical="center"/>
    </xf>
    <xf numFmtId="0" fontId="10" fillId="0" borderId="0" xfId="5" applyFont="1" applyAlignment="1">
      <alignment horizontal="left" vertical="center" wrapText="1"/>
    </xf>
    <xf numFmtId="0" fontId="6" fillId="0" borderId="1" xfId="5" applyBorder="1" applyAlignment="1">
      <alignment horizontal="center" vertical="center" wrapText="1"/>
    </xf>
    <xf numFmtId="0" fontId="7" fillId="0" borderId="2" xfId="5" applyFont="1" applyBorder="1" applyAlignment="1">
      <alignment horizontal="center" vertical="center" wrapText="1"/>
    </xf>
    <xf numFmtId="0" fontId="7" fillId="0" borderId="3" xfId="5" applyFont="1" applyBorder="1" applyAlignment="1">
      <alignment horizontal="left" vertical="top"/>
    </xf>
    <xf numFmtId="0" fontId="6" fillId="0" borderId="4" xfId="5" applyBorder="1" applyAlignment="1">
      <alignment horizontal="left" vertical="top"/>
    </xf>
    <xf numFmtId="0" fontId="6" fillId="0" borderId="5" xfId="5" applyBorder="1" applyAlignment="1">
      <alignment horizontal="left" vertical="top"/>
    </xf>
    <xf numFmtId="0" fontId="6" fillId="0" borderId="6" xfId="5" applyBorder="1" applyAlignment="1">
      <alignment horizontal="left" vertical="top"/>
    </xf>
    <xf numFmtId="0" fontId="6" fillId="0" borderId="7" xfId="5" applyBorder="1" applyAlignment="1">
      <alignment horizontal="left" vertical="top"/>
    </xf>
    <xf numFmtId="0" fontId="7" fillId="0" borderId="7" xfId="5" applyFont="1" applyBorder="1" applyAlignment="1">
      <alignment horizontal="right" vertical="top"/>
    </xf>
    <xf numFmtId="0" fontId="7" fillId="0" borderId="7" xfId="5" applyFont="1" applyBorder="1" applyAlignment="1">
      <alignment horizontal="left" vertical="top"/>
    </xf>
    <xf numFmtId="0" fontId="6" fillId="0" borderId="8" xfId="5" applyBorder="1" applyAlignment="1">
      <alignment horizontal="left" vertical="top"/>
    </xf>
    <xf numFmtId="0" fontId="6" fillId="0" borderId="2" xfId="5" applyBorder="1" applyAlignment="1">
      <alignment horizontal="center" vertical="center" wrapText="1"/>
    </xf>
    <xf numFmtId="0" fontId="6" fillId="0" borderId="9" xfId="5" applyBorder="1" applyAlignment="1">
      <alignment horizontal="left" vertical="top"/>
    </xf>
    <xf numFmtId="0" fontId="6" fillId="0" borderId="10" xfId="5" applyBorder="1" applyAlignment="1">
      <alignment horizontal="left" vertical="top"/>
    </xf>
    <xf numFmtId="0" fontId="6" fillId="0" borderId="11" xfId="5" applyBorder="1" applyAlignment="1">
      <alignment horizontal="left" vertical="top"/>
    </xf>
    <xf numFmtId="0" fontId="6" fillId="0" borderId="12" xfId="5" applyBorder="1" applyAlignment="1">
      <alignment horizontal="center" vertical="center" wrapText="1"/>
    </xf>
    <xf numFmtId="0" fontId="7" fillId="0" borderId="13" xfId="5" applyFont="1" applyBorder="1" applyAlignment="1">
      <alignment horizontal="center" vertical="center" shrinkToFit="1"/>
    </xf>
    <xf numFmtId="0" fontId="7" fillId="0" borderId="14" xfId="5" applyFont="1" applyBorder="1" applyAlignment="1">
      <alignment horizontal="center" vertical="center" shrinkToFit="1"/>
    </xf>
    <xf numFmtId="0" fontId="7" fillId="0" borderId="15" xfId="5" applyFont="1" applyBorder="1" applyAlignment="1">
      <alignment horizontal="center" vertical="center" shrinkToFit="1"/>
    </xf>
    <xf numFmtId="0" fontId="7" fillId="0" borderId="9" xfId="5" applyFont="1" applyBorder="1" applyAlignment="1">
      <alignment horizontal="center" vertical="center"/>
    </xf>
    <xf numFmtId="0" fontId="7" fillId="0" borderId="10" xfId="5" applyFont="1" applyBorder="1" applyAlignment="1">
      <alignment horizontal="center" vertical="center"/>
    </xf>
    <xf numFmtId="0" fontId="7" fillId="0" borderId="11" xfId="5" applyFont="1" applyBorder="1" applyAlignment="1">
      <alignment horizontal="center" vertical="center"/>
    </xf>
    <xf numFmtId="0" fontId="7" fillId="0" borderId="16" xfId="5" applyFont="1" applyBorder="1" applyAlignment="1">
      <alignment horizontal="center" vertical="center"/>
    </xf>
    <xf numFmtId="0" fontId="7" fillId="0" borderId="17" xfId="5" applyFont="1" applyBorder="1" applyAlignment="1">
      <alignment horizontal="center" vertical="center"/>
    </xf>
    <xf numFmtId="0" fontId="7" fillId="0" borderId="18" xfId="5" applyFont="1" applyBorder="1" applyAlignment="1">
      <alignment horizontal="center" vertical="center"/>
    </xf>
    <xf numFmtId="0" fontId="6" fillId="0" borderId="0" xfId="5" applyAlignment="1">
      <alignment vertical="center"/>
    </xf>
    <xf numFmtId="0" fontId="9" fillId="0" borderId="0" xfId="5" applyFont="1" applyAlignment="1">
      <alignment horizontal="center" vertical="center" shrinkToFit="1"/>
    </xf>
    <xf numFmtId="0" fontId="7" fillId="0" borderId="0" xfId="5" applyFont="1" applyAlignment="1">
      <alignment horizontal="center" vertical="center"/>
    </xf>
    <xf numFmtId="0" fontId="8" fillId="0" borderId="0" xfId="5" applyFont="1" applyAlignment="1">
      <alignment horizontal="left" vertical="center"/>
    </xf>
    <xf numFmtId="0" fontId="10" fillId="0" borderId="0" xfId="5" applyFont="1" applyAlignment="1">
      <alignment horizontal="left" vertical="top"/>
    </xf>
    <xf numFmtId="0" fontId="6" fillId="0" borderId="0" xfId="5" applyAlignment="1">
      <alignment horizontal="left"/>
    </xf>
    <xf numFmtId="0" fontId="6" fillId="0" borderId="19" xfId="5" applyBorder="1" applyAlignment="1">
      <alignment horizontal="center" vertical="center"/>
    </xf>
    <xf numFmtId="0" fontId="6" fillId="0" borderId="20" xfId="5" applyBorder="1" applyAlignment="1">
      <alignment horizontal="center" vertical="center"/>
    </xf>
    <xf numFmtId="0" fontId="7" fillId="0" borderId="2" xfId="9" applyFont="1" applyBorder="1">
      <alignment vertical="center"/>
    </xf>
    <xf numFmtId="0" fontId="7" fillId="0" borderId="0" xfId="9" applyFont="1">
      <alignment vertical="center"/>
    </xf>
    <xf numFmtId="0" fontId="7" fillId="0" borderId="16" xfId="9" applyFont="1" applyBorder="1">
      <alignment vertical="center"/>
    </xf>
    <xf numFmtId="0" fontId="7" fillId="0" borderId="17" xfId="9" applyFont="1" applyBorder="1">
      <alignment vertical="center"/>
    </xf>
    <xf numFmtId="0" fontId="7" fillId="0" borderId="12" xfId="9" applyFont="1" applyBorder="1">
      <alignment vertical="center"/>
    </xf>
    <xf numFmtId="0" fontId="6" fillId="0" borderId="3" xfId="5" applyBorder="1" applyAlignment="1">
      <alignment horizontal="center" vertical="center"/>
    </xf>
    <xf numFmtId="0" fontId="6" fillId="0" borderId="4" xfId="5" applyBorder="1" applyAlignment="1">
      <alignment horizontal="center" vertical="center"/>
    </xf>
    <xf numFmtId="0" fontId="6" fillId="0" borderId="5" xfId="5" applyBorder="1" applyAlignment="1">
      <alignment horizontal="center" vertical="center"/>
    </xf>
    <xf numFmtId="0" fontId="7" fillId="0" borderId="4" xfId="8" applyFont="1" applyBorder="1" applyAlignment="1">
      <alignment horizontal="center" vertical="center"/>
    </xf>
    <xf numFmtId="0" fontId="7" fillId="0" borderId="0" xfId="8" applyFont="1" applyAlignment="1">
      <alignment horizontal="center" vertical="center"/>
    </xf>
    <xf numFmtId="0" fontId="7" fillId="0" borderId="20" xfId="8" applyFont="1" applyBorder="1" applyAlignment="1">
      <alignment horizontal="center" vertical="center"/>
    </xf>
    <xf numFmtId="0" fontId="7" fillId="0" borderId="10" xfId="8" applyFont="1" applyBorder="1" applyAlignment="1">
      <alignment horizontal="center" vertical="center"/>
    </xf>
    <xf numFmtId="0" fontId="7" fillId="0" borderId="11" xfId="8" applyFont="1" applyBorder="1" applyAlignment="1">
      <alignment horizontal="center" vertical="center"/>
    </xf>
    <xf numFmtId="0" fontId="7" fillId="0" borderId="4" xfId="5" applyFont="1" applyBorder="1" applyAlignment="1">
      <alignment horizontal="center" vertical="center"/>
    </xf>
    <xf numFmtId="0" fontId="7" fillId="0" borderId="21" xfId="5" applyFont="1" applyBorder="1" applyAlignment="1">
      <alignment horizontal="center" vertical="center"/>
    </xf>
    <xf numFmtId="0" fontId="7" fillId="0" borderId="22" xfId="5" applyFont="1" applyBorder="1" applyAlignment="1">
      <alignment horizontal="center" vertical="center" shrinkToFit="1"/>
    </xf>
    <xf numFmtId="0" fontId="7" fillId="0" borderId="23" xfId="5" applyFont="1" applyBorder="1" applyAlignment="1">
      <alignment vertical="center"/>
    </xf>
    <xf numFmtId="0" fontId="7" fillId="0" borderId="10" xfId="5" applyFont="1" applyBorder="1" applyAlignment="1">
      <alignment vertical="center"/>
    </xf>
    <xf numFmtId="0" fontId="7" fillId="0" borderId="24" xfId="5" applyFont="1" applyBorder="1" applyAlignment="1">
      <alignment vertical="center"/>
    </xf>
    <xf numFmtId="0" fontId="6" fillId="0" borderId="25" xfId="5" applyBorder="1" applyAlignment="1">
      <alignment horizontal="center" vertical="center"/>
    </xf>
    <xf numFmtId="0" fontId="6" fillId="0" borderId="23" xfId="5" applyBorder="1" applyAlignment="1">
      <alignment horizontal="center" vertical="center"/>
    </xf>
    <xf numFmtId="0" fontId="6" fillId="0" borderId="26" xfId="5" applyBorder="1" applyAlignment="1">
      <alignment horizontal="center" vertical="center"/>
    </xf>
    <xf numFmtId="0" fontId="7" fillId="0" borderId="0" xfId="5" applyFont="1" applyAlignment="1">
      <alignment horizontal="left" vertical="center"/>
    </xf>
    <xf numFmtId="0" fontId="12" fillId="0" borderId="0" xfId="7" applyFont="1">
      <alignment vertical="center"/>
    </xf>
    <xf numFmtId="0" fontId="5" fillId="0" borderId="0" xfId="7" applyFont="1">
      <alignment vertical="center"/>
    </xf>
    <xf numFmtId="0" fontId="12" fillId="0" borderId="0" xfId="7" applyFont="1" applyAlignment="1">
      <alignment vertical="center" textRotation="255" shrinkToFit="1"/>
    </xf>
    <xf numFmtId="0" fontId="2" fillId="0" borderId="0" xfId="7" applyFont="1">
      <alignment vertical="center"/>
    </xf>
    <xf numFmtId="0" fontId="2" fillId="0" borderId="0" xfId="7" applyFont="1" applyAlignment="1">
      <alignment horizontal="center" vertical="center"/>
    </xf>
    <xf numFmtId="177" fontId="5" fillId="0" borderId="17" xfId="7" applyNumberFormat="1" applyFont="1" applyBorder="1">
      <alignment vertical="center"/>
    </xf>
    <xf numFmtId="178" fontId="5" fillId="0" borderId="17" xfId="7" applyNumberFormat="1" applyFont="1" applyBorder="1">
      <alignment vertical="center"/>
    </xf>
    <xf numFmtId="0" fontId="5" fillId="3" borderId="17" xfId="7" applyFont="1" applyFill="1" applyBorder="1" applyAlignment="1">
      <alignment horizontal="center" vertical="center"/>
    </xf>
    <xf numFmtId="0" fontId="5" fillId="0" borderId="0" xfId="7" applyFont="1" applyAlignment="1">
      <alignment horizontal="center" vertical="center"/>
    </xf>
    <xf numFmtId="0" fontId="2" fillId="0" borderId="0" xfId="7" applyFont="1" applyAlignment="1">
      <alignment horizontal="left" vertical="center"/>
    </xf>
    <xf numFmtId="0" fontId="5" fillId="4" borderId="17" xfId="7" applyFont="1" applyFill="1" applyBorder="1" applyAlignment="1">
      <alignment horizontal="right" vertical="center"/>
    </xf>
    <xf numFmtId="0" fontId="5" fillId="0" borderId="16" xfId="7" applyFont="1" applyBorder="1" applyAlignment="1">
      <alignment horizontal="right" vertical="center"/>
    </xf>
    <xf numFmtId="176" fontId="5" fillId="0" borderId="17" xfId="7" applyNumberFormat="1" applyFont="1" applyBorder="1" applyAlignment="1">
      <alignment horizontal="right" vertical="center"/>
    </xf>
    <xf numFmtId="0" fontId="5" fillId="0" borderId="17" xfId="7" applyFont="1" applyBorder="1" applyAlignment="1">
      <alignment horizontal="right" vertical="center"/>
    </xf>
    <xf numFmtId="0" fontId="5" fillId="0" borderId="27" xfId="7" applyFont="1" applyBorder="1" applyAlignment="1">
      <alignment horizontal="right" vertical="center"/>
    </xf>
    <xf numFmtId="0" fontId="2" fillId="0" borderId="17" xfId="7" applyFont="1" applyBorder="1">
      <alignment vertical="center"/>
    </xf>
    <xf numFmtId="0" fontId="5" fillId="0" borderId="17" xfId="7" applyFont="1" applyBorder="1" applyAlignment="1">
      <alignment horizontal="center" vertical="center"/>
    </xf>
    <xf numFmtId="0" fontId="5" fillId="5" borderId="25" xfId="7" applyFont="1" applyFill="1" applyBorder="1" applyAlignment="1">
      <alignment horizontal="left" vertical="center"/>
    </xf>
    <xf numFmtId="0" fontId="21" fillId="0" borderId="0" xfId="7" applyFont="1" applyAlignment="1">
      <alignment horizontal="center" vertical="center"/>
    </xf>
    <xf numFmtId="0" fontId="21" fillId="0" borderId="0" xfId="3" applyFont="1" applyAlignment="1">
      <alignment horizontal="center" vertical="center"/>
    </xf>
    <xf numFmtId="0" fontId="21" fillId="0" borderId="0" xfId="7" applyFont="1">
      <alignment vertical="center"/>
    </xf>
    <xf numFmtId="0" fontId="13" fillId="0" borderId="0" xfId="7" applyFont="1" applyAlignment="1">
      <alignment horizontal="left" vertical="center"/>
    </xf>
    <xf numFmtId="0" fontId="2" fillId="0" borderId="0" xfId="7" applyFont="1" applyAlignment="1">
      <alignment horizontal="right" vertical="center"/>
    </xf>
    <xf numFmtId="0" fontId="5" fillId="0" borderId="17" xfId="7" applyFont="1" applyBorder="1" applyAlignment="1">
      <alignment horizontal="center" vertical="center" wrapText="1"/>
    </xf>
    <xf numFmtId="0" fontId="5" fillId="3" borderId="25" xfId="7" applyFont="1" applyFill="1" applyBorder="1" applyAlignment="1">
      <alignment horizontal="center" vertical="center"/>
    </xf>
    <xf numFmtId="0" fontId="5" fillId="5" borderId="17" xfId="7" applyFont="1" applyFill="1" applyBorder="1" applyAlignment="1">
      <alignment horizontal="left" vertical="center"/>
    </xf>
    <xf numFmtId="0" fontId="20" fillId="0" borderId="0" xfId="0" applyFont="1">
      <alignment vertical="center"/>
    </xf>
    <xf numFmtId="0" fontId="5" fillId="0" borderId="0" xfId="7" applyFont="1" applyAlignment="1">
      <alignment horizontal="left" vertical="center"/>
    </xf>
    <xf numFmtId="0" fontId="22" fillId="0" borderId="0" xfId="0" applyFont="1">
      <alignment vertical="center"/>
    </xf>
    <xf numFmtId="0" fontId="19" fillId="0" borderId="0" xfId="0" applyFont="1">
      <alignment vertical="center"/>
    </xf>
    <xf numFmtId="0" fontId="19" fillId="0" borderId="0" xfId="0" applyFont="1" applyAlignment="1">
      <alignment horizontal="right" vertical="center"/>
    </xf>
    <xf numFmtId="0" fontId="19" fillId="6" borderId="0" xfId="0" applyFont="1" applyFill="1">
      <alignment vertical="center"/>
    </xf>
    <xf numFmtId="0" fontId="23" fillId="0" borderId="0" xfId="7" applyFont="1" applyAlignment="1">
      <alignment horizontal="center" vertical="center"/>
    </xf>
    <xf numFmtId="0" fontId="23" fillId="0" borderId="0" xfId="3" applyFont="1" applyAlignment="1">
      <alignment horizontal="center" vertical="center"/>
    </xf>
    <xf numFmtId="0" fontId="23" fillId="0" borderId="0" xfId="7" applyFont="1">
      <alignment vertical="center"/>
    </xf>
    <xf numFmtId="0" fontId="5" fillId="0" borderId="0" xfId="7" applyFont="1" applyAlignment="1">
      <alignment vertical="center" textRotation="255" shrinkToFit="1"/>
    </xf>
    <xf numFmtId="0" fontId="18" fillId="0" borderId="0" xfId="7" applyFont="1" applyAlignment="1">
      <alignment horizontal="left" vertical="center"/>
    </xf>
    <xf numFmtId="0" fontId="5" fillId="4" borderId="28" xfId="7" applyFont="1" applyFill="1" applyBorder="1" applyAlignment="1">
      <alignment horizontal="right" vertical="center"/>
    </xf>
    <xf numFmtId="0" fontId="5" fillId="0" borderId="17" xfId="7" applyFont="1" applyBorder="1" applyAlignment="1">
      <alignment vertical="center" textRotation="255" shrinkToFit="1"/>
    </xf>
    <xf numFmtId="179" fontId="5" fillId="0" borderId="17" xfId="7" applyNumberFormat="1" applyFont="1" applyBorder="1" applyAlignment="1">
      <alignment horizontal="center" vertical="center"/>
    </xf>
    <xf numFmtId="0" fontId="19" fillId="6" borderId="17" xfId="0" applyFont="1" applyFill="1" applyBorder="1">
      <alignment vertical="center"/>
    </xf>
    <xf numFmtId="0" fontId="2" fillId="0" borderId="0" xfId="3" applyFont="1" applyAlignment="1">
      <alignment horizontal="center" vertical="center"/>
    </xf>
    <xf numFmtId="0" fontId="5" fillId="0" borderId="17" xfId="3" applyFont="1" applyBorder="1" applyAlignment="1">
      <alignment horizontal="center" vertical="center"/>
    </xf>
    <xf numFmtId="0" fontId="5" fillId="0" borderId="25" xfId="3" applyFont="1" applyBorder="1" applyAlignment="1">
      <alignment horizontal="center" vertical="center"/>
    </xf>
    <xf numFmtId="0" fontId="5" fillId="3" borderId="17" xfId="7" applyFont="1" applyFill="1" applyBorder="1" applyAlignment="1">
      <alignment horizontal="left" vertical="center"/>
    </xf>
    <xf numFmtId="0" fontId="5" fillId="5" borderId="17" xfId="7" applyFont="1" applyFill="1" applyBorder="1">
      <alignment vertical="center"/>
    </xf>
    <xf numFmtId="0" fontId="5" fillId="5" borderId="25" xfId="7" applyFont="1" applyFill="1" applyBorder="1">
      <alignment vertical="center"/>
    </xf>
    <xf numFmtId="0" fontId="14" fillId="0" borderId="0" xfId="7" applyFont="1">
      <alignment vertical="center"/>
    </xf>
    <xf numFmtId="176" fontId="5" fillId="0" borderId="29" xfId="7" applyNumberFormat="1" applyFont="1" applyBorder="1">
      <alignment vertical="center"/>
    </xf>
    <xf numFmtId="176" fontId="5" fillId="0" borderId="17" xfId="7" applyNumberFormat="1" applyFont="1" applyBorder="1">
      <alignment vertical="center"/>
    </xf>
    <xf numFmtId="0" fontId="5" fillId="0" borderId="0" xfId="7" applyFont="1" applyAlignment="1">
      <alignment horizontal="right" vertical="center"/>
    </xf>
    <xf numFmtId="180" fontId="5" fillId="0" borderId="17" xfId="7" applyNumberFormat="1" applyFont="1" applyBorder="1" applyAlignment="1">
      <alignment horizontal="center" vertical="center"/>
    </xf>
    <xf numFmtId="0" fontId="5" fillId="4" borderId="17" xfId="7" applyFont="1" applyFill="1" applyBorder="1" applyAlignment="1">
      <alignment horizontal="center" vertical="center"/>
    </xf>
    <xf numFmtId="0" fontId="2" fillId="0" borderId="10" xfId="7" applyFont="1" applyBorder="1">
      <alignment vertical="center"/>
    </xf>
    <xf numFmtId="0" fontId="5" fillId="7" borderId="17" xfId="3" applyFont="1" applyFill="1" applyBorder="1" applyAlignment="1">
      <alignment horizontal="center" vertical="center"/>
    </xf>
    <xf numFmtId="0" fontId="5" fillId="0" borderId="4" xfId="7" applyFont="1" applyBorder="1">
      <alignment vertical="center"/>
    </xf>
    <xf numFmtId="0" fontId="5" fillId="0" borderId="4" xfId="7" applyFont="1" applyBorder="1" applyAlignment="1">
      <alignment horizontal="center" vertical="center"/>
    </xf>
    <xf numFmtId="0" fontId="12" fillId="0" borderId="0" xfId="7" applyFont="1" applyAlignment="1">
      <alignment horizontal="center" vertical="center"/>
    </xf>
    <xf numFmtId="0" fontId="25" fillId="0" borderId="0" xfId="0" applyFont="1">
      <alignment vertical="center"/>
    </xf>
    <xf numFmtId="0" fontId="24" fillId="0" borderId="0" xfId="7" applyFont="1">
      <alignment vertical="center"/>
    </xf>
    <xf numFmtId="176" fontId="5" fillId="0" borderId="17" xfId="7" applyNumberFormat="1" applyFont="1" applyBorder="1" applyAlignment="1">
      <alignment horizontal="center" vertical="center"/>
    </xf>
    <xf numFmtId="0" fontId="5" fillId="0" borderId="25" xfId="7" applyFont="1" applyBorder="1" applyAlignment="1">
      <alignment horizontal="left" vertical="center"/>
    </xf>
    <xf numFmtId="0" fontId="5" fillId="0" borderId="23" xfId="7" applyFont="1" applyBorder="1" applyAlignment="1">
      <alignment horizontal="left" vertical="center"/>
    </xf>
    <xf numFmtId="0" fontId="5" fillId="0" borderId="16" xfId="7" applyFont="1" applyBorder="1" applyAlignment="1">
      <alignment horizontal="left" vertical="center"/>
    </xf>
    <xf numFmtId="0" fontId="5" fillId="0" borderId="17" xfId="7" applyFont="1" applyBorder="1">
      <alignment vertical="center"/>
    </xf>
    <xf numFmtId="0" fontId="5" fillId="0" borderId="9" xfId="7" applyFont="1" applyBorder="1" applyAlignment="1">
      <alignment vertical="center" wrapText="1"/>
    </xf>
    <xf numFmtId="0" fontId="5" fillId="0" borderId="28" xfId="7" applyFont="1" applyBorder="1" applyAlignment="1">
      <alignment vertical="center" wrapText="1"/>
    </xf>
    <xf numFmtId="0" fontId="27" fillId="0" borderId="0" xfId="0" applyFont="1">
      <alignment vertical="center"/>
    </xf>
    <xf numFmtId="0" fontId="28" fillId="0" borderId="23" xfId="7" applyFont="1" applyBorder="1" applyAlignment="1">
      <alignment horizontal="left" vertical="center"/>
    </xf>
    <xf numFmtId="176" fontId="5" fillId="0" borderId="27" xfId="7" applyNumberFormat="1" applyFont="1" applyBorder="1" applyAlignment="1">
      <alignment horizontal="right" vertical="center"/>
    </xf>
    <xf numFmtId="0" fontId="5" fillId="0" borderId="0" xfId="3" applyFont="1" applyAlignment="1">
      <alignment horizontal="center" vertical="center"/>
    </xf>
    <xf numFmtId="0" fontId="5" fillId="0" borderId="16" xfId="7" applyFont="1" applyBorder="1" applyAlignment="1">
      <alignment horizontal="center" vertical="center"/>
    </xf>
    <xf numFmtId="0" fontId="5" fillId="0" borderId="0" xfId="7" applyFont="1" applyAlignment="1">
      <alignment horizontal="center" vertical="center" wrapText="1"/>
    </xf>
    <xf numFmtId="0" fontId="5" fillId="0" borderId="4" xfId="7" applyFont="1" applyBorder="1" applyAlignment="1">
      <alignment vertical="center" wrapText="1"/>
    </xf>
    <xf numFmtId="0" fontId="5" fillId="0" borderId="0" xfId="7" applyFont="1" applyAlignment="1">
      <alignment vertical="center" wrapText="1"/>
    </xf>
    <xf numFmtId="0" fontId="29" fillId="0" borderId="4" xfId="7" applyFont="1" applyBorder="1">
      <alignment vertical="center"/>
    </xf>
    <xf numFmtId="0" fontId="29" fillId="0" borderId="0" xfId="7" applyFont="1">
      <alignment vertical="center"/>
    </xf>
    <xf numFmtId="0" fontId="14" fillId="0" borderId="17" xfId="7" applyFont="1" applyBorder="1" applyAlignment="1">
      <alignment horizontal="center" vertical="center"/>
    </xf>
    <xf numFmtId="0" fontId="14" fillId="0" borderId="16" xfId="7" applyFont="1" applyBorder="1" applyAlignment="1">
      <alignment horizontal="center" vertical="center"/>
    </xf>
    <xf numFmtId="0" fontId="19" fillId="6" borderId="28" xfId="0" applyFont="1" applyFill="1" applyBorder="1">
      <alignment vertical="center"/>
    </xf>
    <xf numFmtId="0" fontId="2" fillId="0" borderId="0" xfId="0" applyFont="1">
      <alignment vertical="center"/>
    </xf>
    <xf numFmtId="0" fontId="2" fillId="0" borderId="0" xfId="0" applyFont="1" applyAlignment="1">
      <alignment horizontal="right" vertical="center"/>
    </xf>
    <xf numFmtId="0" fontId="5" fillId="3" borderId="28" xfId="7" applyFont="1" applyFill="1" applyBorder="1" applyAlignment="1">
      <alignment horizontal="left" vertical="center"/>
    </xf>
    <xf numFmtId="0" fontId="31" fillId="0" borderId="0" xfId="7" applyFont="1">
      <alignment vertical="center"/>
    </xf>
    <xf numFmtId="0" fontId="32" fillId="0" borderId="0" xfId="7" applyFont="1">
      <alignment vertical="center"/>
    </xf>
    <xf numFmtId="49" fontId="35" fillId="0" borderId="4" xfId="4" applyNumberFormat="1" applyFont="1" applyBorder="1" applyAlignment="1">
      <alignment vertical="center" wrapText="1"/>
    </xf>
    <xf numFmtId="0" fontId="2" fillId="8" borderId="0" xfId="7" applyFont="1" applyFill="1" applyAlignment="1">
      <alignment horizontal="right" vertical="center"/>
    </xf>
    <xf numFmtId="0" fontId="2" fillId="8" borderId="0" xfId="0" applyFont="1" applyFill="1">
      <alignment vertical="center"/>
    </xf>
    <xf numFmtId="0" fontId="2" fillId="8" borderId="0" xfId="0" applyFont="1" applyFill="1" applyAlignment="1">
      <alignment horizontal="right" vertical="center"/>
    </xf>
    <xf numFmtId="0" fontId="13" fillId="0" borderId="0" xfId="0" applyFont="1">
      <alignment vertical="center"/>
    </xf>
    <xf numFmtId="0" fontId="2" fillId="6" borderId="17" xfId="0" applyFont="1" applyFill="1" applyBorder="1">
      <alignment vertical="center"/>
    </xf>
    <xf numFmtId="0" fontId="5" fillId="0" borderId="17" xfId="7" applyFont="1" applyBorder="1">
      <alignment vertical="center"/>
    </xf>
    <xf numFmtId="0" fontId="5" fillId="0" borderId="25" xfId="3" applyFont="1" applyBorder="1" applyAlignment="1">
      <alignment horizontal="center" vertical="center" wrapText="1"/>
    </xf>
    <xf numFmtId="0" fontId="5" fillId="0" borderId="23" xfId="3" applyFont="1" applyBorder="1" applyAlignment="1">
      <alignment horizontal="center" vertical="center" wrapText="1"/>
    </xf>
    <xf numFmtId="0" fontId="5" fillId="0" borderId="16" xfId="3" applyFont="1" applyBorder="1" applyAlignment="1">
      <alignment horizontal="center" vertical="center" wrapText="1"/>
    </xf>
    <xf numFmtId="0" fontId="5" fillId="0" borderId="17" xfId="7" applyFont="1" applyBorder="1" applyAlignment="1">
      <alignment horizontal="center" vertical="center"/>
    </xf>
    <xf numFmtId="0" fontId="5" fillId="0" borderId="25" xfId="3" applyFont="1" applyBorder="1" applyAlignment="1">
      <alignment horizontal="center" vertical="center"/>
    </xf>
    <xf numFmtId="0" fontId="5" fillId="0" borderId="23" xfId="3" applyFont="1" applyBorder="1" applyAlignment="1">
      <alignment horizontal="center" vertical="center"/>
    </xf>
    <xf numFmtId="0" fontId="5" fillId="0" borderId="16" xfId="3" applyFont="1" applyBorder="1" applyAlignment="1">
      <alignment horizontal="center" vertical="center"/>
    </xf>
    <xf numFmtId="0" fontId="5" fillId="0" borderId="17" xfId="7" applyFont="1" applyBorder="1" applyAlignment="1">
      <alignment horizontal="center" vertical="center" wrapText="1"/>
    </xf>
    <xf numFmtId="0" fontId="5" fillId="0" borderId="17" xfId="7" applyFont="1" applyBorder="1" applyAlignment="1">
      <alignment horizontal="right" vertical="center"/>
    </xf>
    <xf numFmtId="0" fontId="5" fillId="0" borderId="17" xfId="3" applyFont="1" applyBorder="1" applyAlignment="1">
      <alignment horizontal="center" vertical="center" wrapText="1"/>
    </xf>
    <xf numFmtId="0" fontId="5" fillId="0" borderId="17" xfId="3" applyFont="1" applyBorder="1" applyAlignment="1">
      <alignment horizontal="center" vertical="center"/>
    </xf>
    <xf numFmtId="0" fontId="5" fillId="4" borderId="17" xfId="7" applyFont="1" applyFill="1" applyBorder="1" applyAlignment="1">
      <alignment horizontal="right" vertical="center"/>
    </xf>
    <xf numFmtId="0" fontId="5" fillId="4" borderId="25" xfId="7" applyFont="1" applyFill="1" applyBorder="1" applyAlignment="1">
      <alignment horizontal="right" vertical="center"/>
    </xf>
    <xf numFmtId="0" fontId="5" fillId="4" borderId="23" xfId="7" applyFont="1" applyFill="1" applyBorder="1" applyAlignment="1">
      <alignment horizontal="right" vertical="center"/>
    </xf>
    <xf numFmtId="0" fontId="5" fillId="4" borderId="16" xfId="7" applyFont="1" applyFill="1" applyBorder="1" applyAlignment="1">
      <alignment horizontal="right" vertical="center"/>
    </xf>
    <xf numFmtId="176" fontId="5" fillId="0" borderId="40" xfId="7" applyNumberFormat="1" applyFont="1" applyBorder="1">
      <alignment vertical="center"/>
    </xf>
    <xf numFmtId="176" fontId="5" fillId="0" borderId="28" xfId="7" applyNumberFormat="1" applyFont="1" applyBorder="1">
      <alignment vertical="center"/>
    </xf>
    <xf numFmtId="0" fontId="5" fillId="0" borderId="17" xfId="7" applyFont="1" applyBorder="1" applyAlignment="1">
      <alignment horizontal="left" vertical="center"/>
    </xf>
    <xf numFmtId="179" fontId="5" fillId="0" borderId="17" xfId="7" applyNumberFormat="1" applyFont="1" applyBorder="1" applyAlignment="1">
      <alignment horizontal="center" vertical="center"/>
    </xf>
    <xf numFmtId="0" fontId="2" fillId="5" borderId="17" xfId="7" applyFont="1" applyFill="1" applyBorder="1">
      <alignment vertical="center"/>
    </xf>
    <xf numFmtId="0" fontId="5" fillId="0" borderId="25" xfId="7" applyFont="1" applyBorder="1" applyAlignment="1">
      <alignment horizontal="center" vertical="center"/>
    </xf>
    <xf numFmtId="0" fontId="5" fillId="0" borderId="23" xfId="7" applyFont="1" applyBorder="1" applyAlignment="1">
      <alignment horizontal="center" vertical="center"/>
    </xf>
    <xf numFmtId="0" fontId="2" fillId="0" borderId="17" xfId="7" applyFont="1" applyBorder="1">
      <alignment vertical="center"/>
    </xf>
    <xf numFmtId="0" fontId="5" fillId="0" borderId="16" xfId="7" applyFont="1" applyBorder="1" applyAlignment="1">
      <alignment horizontal="center" vertical="center"/>
    </xf>
    <xf numFmtId="0" fontId="5" fillId="0" borderId="16" xfId="7" applyFont="1" applyBorder="1" applyAlignment="1">
      <alignment horizontal="center" vertical="center" wrapText="1"/>
    </xf>
    <xf numFmtId="0" fontId="2" fillId="0" borderId="17" xfId="7" applyFont="1" applyBorder="1" applyAlignment="1">
      <alignment horizontal="center" vertical="center" wrapText="1"/>
    </xf>
    <xf numFmtId="0" fontId="19" fillId="6" borderId="17" xfId="0" applyFont="1" applyFill="1" applyBorder="1">
      <alignment vertical="center"/>
    </xf>
    <xf numFmtId="0" fontId="5" fillId="0" borderId="3" xfId="7" applyFont="1" applyBorder="1" applyAlignment="1">
      <alignment horizontal="center" vertical="center"/>
    </xf>
    <xf numFmtId="0" fontId="5" fillId="0" borderId="19" xfId="7" applyFont="1" applyBorder="1" applyAlignment="1">
      <alignment horizontal="center" vertical="center"/>
    </xf>
    <xf numFmtId="0" fontId="5" fillId="0" borderId="3" xfId="7" applyFont="1" applyBorder="1" applyAlignment="1">
      <alignment horizontal="center" vertical="center" wrapText="1"/>
    </xf>
    <xf numFmtId="0" fontId="5" fillId="0" borderId="19" xfId="7" applyFont="1" applyBorder="1" applyAlignment="1">
      <alignment horizontal="center" vertical="center" wrapText="1"/>
    </xf>
    <xf numFmtId="0" fontId="5" fillId="0" borderId="9" xfId="7" applyFont="1" applyBorder="1" applyAlignment="1">
      <alignment horizontal="center" vertical="center" wrapText="1"/>
    </xf>
    <xf numFmtId="49" fontId="5" fillId="0" borderId="17" xfId="7" applyNumberFormat="1" applyFont="1" applyBorder="1" applyAlignment="1">
      <alignment horizontal="center" vertical="center"/>
    </xf>
    <xf numFmtId="0" fontId="30" fillId="0" borderId="19" xfId="7" applyFont="1" applyBorder="1" applyAlignment="1">
      <alignment horizontal="center" vertical="center" wrapText="1"/>
    </xf>
    <xf numFmtId="0" fontId="30" fillId="0" borderId="9" xfId="7" applyFont="1" applyBorder="1" applyAlignment="1">
      <alignment horizontal="center" vertical="center" wrapText="1"/>
    </xf>
    <xf numFmtId="0" fontId="2" fillId="3" borderId="17" xfId="7" applyFont="1" applyFill="1" applyBorder="1" applyAlignment="1">
      <alignment horizontal="center" vertical="center"/>
    </xf>
    <xf numFmtId="0" fontId="2" fillId="3" borderId="17" xfId="7" applyFont="1" applyFill="1" applyBorder="1" applyAlignment="1">
      <alignment horizontal="center" vertical="center" wrapText="1"/>
    </xf>
    <xf numFmtId="0" fontId="2" fillId="4" borderId="10" xfId="7" applyFont="1" applyFill="1" applyBorder="1" applyAlignment="1">
      <alignment horizontal="center" vertical="center"/>
    </xf>
    <xf numFmtId="0" fontId="2" fillId="0" borderId="10" xfId="7" applyFont="1" applyBorder="1" applyAlignment="1">
      <alignment horizontal="center" vertical="center"/>
    </xf>
    <xf numFmtId="0" fontId="2" fillId="5" borderId="17" xfId="7" applyFont="1" applyFill="1" applyBorder="1" applyAlignment="1">
      <alignment horizontal="center" vertical="center"/>
    </xf>
    <xf numFmtId="0" fontId="6" fillId="0" borderId="0" xfId="5" applyAlignment="1">
      <alignment horizontal="right" vertical="center"/>
    </xf>
    <xf numFmtId="0" fontId="6" fillId="0" borderId="0" xfId="5" applyAlignment="1">
      <alignment horizontal="left" vertical="center"/>
    </xf>
    <xf numFmtId="0" fontId="7" fillId="0" borderId="45" xfId="5" applyFont="1" applyBorder="1" applyAlignment="1">
      <alignment horizontal="center" vertical="center"/>
    </xf>
    <xf numFmtId="0" fontId="7" fillId="0" borderId="46" xfId="5" applyFont="1" applyBorder="1" applyAlignment="1">
      <alignment horizontal="center" vertical="center"/>
    </xf>
    <xf numFmtId="0" fontId="6" fillId="2" borderId="46" xfId="5" applyFill="1" applyBorder="1" applyAlignment="1">
      <alignment horizontal="center" vertical="center"/>
    </xf>
    <xf numFmtId="0" fontId="6" fillId="2" borderId="47" xfId="5" applyFill="1" applyBorder="1" applyAlignment="1">
      <alignment horizontal="center" vertical="center"/>
    </xf>
    <xf numFmtId="0" fontId="7" fillId="0" borderId="48" xfId="5" applyFont="1" applyBorder="1" applyAlignment="1">
      <alignment horizontal="center" vertical="center"/>
    </xf>
    <xf numFmtId="0" fontId="7" fillId="0" borderId="49" xfId="5" applyFont="1" applyBorder="1" applyAlignment="1">
      <alignment horizontal="center" vertical="center"/>
    </xf>
    <xf numFmtId="0" fontId="6" fillId="0" borderId="50" xfId="5" applyBorder="1" applyAlignment="1">
      <alignment horizontal="center" vertical="center"/>
    </xf>
    <xf numFmtId="0" fontId="6" fillId="0" borderId="51" xfId="5" applyBorder="1" applyAlignment="1">
      <alignment horizontal="center" vertical="center"/>
    </xf>
    <xf numFmtId="0" fontId="6" fillId="0" borderId="51" xfId="5" applyBorder="1"/>
    <xf numFmtId="0" fontId="6" fillId="0" borderId="52" xfId="5" applyBorder="1"/>
    <xf numFmtId="0" fontId="7" fillId="0" borderId="16" xfId="5" applyFont="1" applyBorder="1" applyAlignment="1">
      <alignment horizontal="center" vertical="center"/>
    </xf>
    <xf numFmtId="0" fontId="7" fillId="0" borderId="17" xfId="5" applyFont="1" applyBorder="1" applyAlignment="1">
      <alignment horizontal="center" vertical="center"/>
    </xf>
    <xf numFmtId="0" fontId="6" fillId="0" borderId="19" xfId="5" applyBorder="1" applyAlignment="1">
      <alignment horizontal="center" vertical="center"/>
    </xf>
    <xf numFmtId="0" fontId="6" fillId="0" borderId="0" xfId="5" applyAlignment="1">
      <alignment horizontal="center" vertical="center"/>
    </xf>
    <xf numFmtId="0" fontId="6" fillId="0" borderId="0" xfId="5"/>
    <xf numFmtId="0" fontId="6" fillId="0" borderId="20" xfId="5" applyBorder="1"/>
    <xf numFmtId="0" fontId="7" fillId="0" borderId="4" xfId="5" applyFont="1" applyBorder="1" applyAlignment="1">
      <alignment horizontal="center" vertical="center"/>
    </xf>
    <xf numFmtId="0" fontId="7" fillId="0" borderId="21" xfId="5" applyFont="1" applyBorder="1" applyAlignment="1">
      <alignment horizontal="center" vertical="center"/>
    </xf>
    <xf numFmtId="0" fontId="7" fillId="0" borderId="0" xfId="5" applyFont="1" applyAlignment="1">
      <alignment horizontal="center" vertical="center"/>
    </xf>
    <xf numFmtId="0" fontId="7" fillId="0" borderId="37" xfId="5" applyFont="1" applyBorder="1" applyAlignment="1">
      <alignment horizontal="center" vertical="center"/>
    </xf>
    <xf numFmtId="0" fontId="7" fillId="0" borderId="10" xfId="5" applyFont="1" applyBorder="1" applyAlignment="1">
      <alignment horizontal="center" vertical="center"/>
    </xf>
    <xf numFmtId="0" fontId="7" fillId="0" borderId="24" xfId="5" applyFont="1" applyBorder="1" applyAlignment="1">
      <alignment horizontal="center" vertical="center"/>
    </xf>
    <xf numFmtId="0" fontId="7" fillId="0" borderId="7" xfId="5" applyFont="1" applyBorder="1" applyAlignment="1">
      <alignment horizontal="left" vertical="top"/>
    </xf>
    <xf numFmtId="0" fontId="6" fillId="0" borderId="17" xfId="5" applyBorder="1" applyAlignment="1">
      <alignment horizontal="center" vertical="center"/>
    </xf>
    <xf numFmtId="0" fontId="6" fillId="0" borderId="40" xfId="5" applyBorder="1" applyAlignment="1">
      <alignment horizontal="center" vertical="center"/>
    </xf>
    <xf numFmtId="0" fontId="7" fillId="0" borderId="40" xfId="5" applyFont="1" applyBorder="1" applyAlignment="1">
      <alignment horizontal="center" vertical="center"/>
    </xf>
    <xf numFmtId="0" fontId="7" fillId="0" borderId="30" xfId="5" applyFont="1" applyBorder="1" applyAlignment="1">
      <alignment horizontal="center" vertical="center" shrinkToFit="1"/>
    </xf>
    <xf numFmtId="0" fontId="7" fillId="0" borderId="23" xfId="5" applyFont="1" applyBorder="1" applyAlignment="1">
      <alignment horizontal="center" vertical="center" shrinkToFit="1"/>
    </xf>
    <xf numFmtId="0" fontId="7" fillId="0" borderId="24" xfId="5" applyFont="1" applyBorder="1" applyAlignment="1">
      <alignment horizontal="center" vertical="center" shrinkToFit="1"/>
    </xf>
    <xf numFmtId="0" fontId="7" fillId="0" borderId="25" xfId="5" applyFont="1" applyBorder="1" applyAlignment="1">
      <alignment horizontal="center" vertical="center"/>
    </xf>
    <xf numFmtId="0" fontId="7" fillId="0" borderId="23" xfId="5" applyFont="1" applyBorder="1" applyAlignment="1">
      <alignment horizontal="center" vertical="center"/>
    </xf>
    <xf numFmtId="0" fontId="6" fillId="0" borderId="23" xfId="5" applyBorder="1"/>
    <xf numFmtId="0" fontId="6" fillId="0" borderId="26" xfId="5" applyBorder="1"/>
    <xf numFmtId="0" fontId="7" fillId="0" borderId="42" xfId="5" applyFont="1" applyBorder="1" applyAlignment="1">
      <alignment horizontal="left" vertical="center" shrinkToFit="1"/>
    </xf>
    <xf numFmtId="0" fontId="6" fillId="0" borderId="21" xfId="5" applyBorder="1" applyAlignment="1">
      <alignment horizontal="left"/>
    </xf>
    <xf numFmtId="0" fontId="7" fillId="0" borderId="19" xfId="5" applyFont="1" applyBorder="1" applyAlignment="1">
      <alignment horizontal="center" vertical="center"/>
    </xf>
    <xf numFmtId="0" fontId="7" fillId="0" borderId="9" xfId="5" applyFont="1" applyBorder="1" applyAlignment="1">
      <alignment horizontal="center" vertical="center"/>
    </xf>
    <xf numFmtId="0" fontId="10" fillId="0" borderId="19" xfId="5" applyFont="1" applyBorder="1" applyAlignment="1">
      <alignment horizontal="left" vertical="top"/>
    </xf>
    <xf numFmtId="0" fontId="10" fillId="0" borderId="0" xfId="5" applyFont="1" applyAlignment="1">
      <alignment horizontal="left" vertical="top"/>
    </xf>
    <xf numFmtId="0" fontId="7" fillId="0" borderId="44" xfId="5" applyFont="1" applyBorder="1" applyAlignment="1">
      <alignment horizontal="left" vertical="top"/>
    </xf>
    <xf numFmtId="0" fontId="7" fillId="0" borderId="24" xfId="5" applyFont="1" applyBorder="1" applyAlignment="1">
      <alignment horizontal="left" vertical="top"/>
    </xf>
    <xf numFmtId="0" fontId="6" fillId="0" borderId="10" xfId="5" applyBorder="1" applyAlignment="1">
      <alignment horizontal="center"/>
    </xf>
    <xf numFmtId="0" fontId="6" fillId="0" borderId="24" xfId="5" applyBorder="1" applyAlignment="1">
      <alignment horizontal="center"/>
    </xf>
    <xf numFmtId="0" fontId="7" fillId="0" borderId="25" xfId="5" applyFont="1" applyBorder="1" applyAlignment="1">
      <alignment horizontal="center" vertical="center" shrinkToFit="1"/>
    </xf>
    <xf numFmtId="0" fontId="7" fillId="0" borderId="16" xfId="5" applyFont="1" applyBorder="1" applyAlignment="1">
      <alignment horizontal="center" vertical="center" shrinkToFit="1"/>
    </xf>
    <xf numFmtId="0" fontId="7" fillId="2" borderId="25" xfId="5" applyFont="1" applyFill="1" applyBorder="1" applyAlignment="1">
      <alignment horizontal="center" vertical="center"/>
    </xf>
    <xf numFmtId="0" fontId="7" fillId="2" borderId="23" xfId="5" applyFont="1" applyFill="1" applyBorder="1" applyAlignment="1">
      <alignment horizontal="center" vertical="center"/>
    </xf>
    <xf numFmtId="0" fontId="7" fillId="2" borderId="16" xfId="5" applyFont="1" applyFill="1" applyBorder="1" applyAlignment="1">
      <alignment horizontal="center" vertical="center"/>
    </xf>
    <xf numFmtId="0" fontId="7" fillId="2" borderId="26" xfId="5" applyFont="1" applyFill="1" applyBorder="1" applyAlignment="1">
      <alignment horizontal="center" vertical="center"/>
    </xf>
    <xf numFmtId="0" fontId="7" fillId="0" borderId="42" xfId="5" applyFont="1" applyBorder="1" applyAlignment="1">
      <alignment horizontal="center" vertical="center"/>
    </xf>
    <xf numFmtId="0" fontId="7" fillId="0" borderId="18" xfId="5" applyFont="1" applyBorder="1" applyAlignment="1">
      <alignment horizontal="center" vertical="center"/>
    </xf>
    <xf numFmtId="0" fontId="7" fillId="0" borderId="17" xfId="5" applyFont="1" applyBorder="1" applyAlignment="1">
      <alignment horizontal="center" vertical="center" shrinkToFit="1"/>
    </xf>
    <xf numFmtId="0" fontId="7" fillId="0" borderId="43" xfId="5" applyFont="1" applyBorder="1" applyAlignment="1">
      <alignment horizontal="center" vertical="center" shrinkToFit="1"/>
    </xf>
    <xf numFmtId="0" fontId="7" fillId="0" borderId="26" xfId="5" applyFont="1" applyBorder="1" applyAlignment="1">
      <alignment horizontal="center" vertical="center"/>
    </xf>
    <xf numFmtId="0" fontId="7" fillId="0" borderId="3" xfId="5" applyFont="1" applyBorder="1" applyAlignment="1">
      <alignment horizontal="center" vertical="center"/>
    </xf>
    <xf numFmtId="0" fontId="7" fillId="2" borderId="3" xfId="5" applyFont="1" applyFill="1" applyBorder="1" applyAlignment="1">
      <alignment horizontal="center" vertical="center"/>
    </xf>
    <xf numFmtId="0" fontId="7" fillId="2" borderId="4" xfId="5" applyFont="1" applyFill="1" applyBorder="1" applyAlignment="1">
      <alignment horizontal="center" vertical="center"/>
    </xf>
    <xf numFmtId="0" fontId="7" fillId="2" borderId="21" xfId="5" applyFont="1" applyFill="1" applyBorder="1" applyAlignment="1">
      <alignment horizontal="center" vertical="center"/>
    </xf>
    <xf numFmtId="0" fontId="7" fillId="2" borderId="40" xfId="5" applyFont="1" applyFill="1" applyBorder="1" applyAlignment="1">
      <alignment horizontal="center" vertical="center"/>
    </xf>
    <xf numFmtId="0" fontId="7" fillId="0" borderId="3" xfId="9" applyFont="1" applyBorder="1" applyAlignment="1">
      <alignment horizontal="center" vertical="center" wrapText="1"/>
    </xf>
    <xf numFmtId="0" fontId="6" fillId="0" borderId="4" xfId="5" applyBorder="1"/>
    <xf numFmtId="0" fontId="6" fillId="0" borderId="21" xfId="5" applyBorder="1"/>
    <xf numFmtId="0" fontId="6" fillId="0" borderId="19" xfId="5" applyBorder="1"/>
    <xf numFmtId="0" fontId="6" fillId="0" borderId="37" xfId="5" applyBorder="1"/>
    <xf numFmtId="0" fontId="6" fillId="0" borderId="9" xfId="5" applyBorder="1"/>
    <xf numFmtId="0" fontId="6" fillId="0" borderId="10" xfId="5" applyBorder="1"/>
    <xf numFmtId="0" fontId="6" fillId="0" borderId="24" xfId="5" applyBorder="1"/>
    <xf numFmtId="0" fontId="7" fillId="0" borderId="25" xfId="9" applyFont="1" applyBorder="1" applyAlignment="1">
      <alignment horizontal="center" vertical="center"/>
    </xf>
    <xf numFmtId="0" fontId="6" fillId="0" borderId="23" xfId="5" applyBorder="1" applyAlignment="1">
      <alignment horizontal="center" vertical="center"/>
    </xf>
    <xf numFmtId="0" fontId="6" fillId="0" borderId="26" xfId="5" applyBorder="1" applyAlignment="1">
      <alignment horizontal="center" vertical="center"/>
    </xf>
    <xf numFmtId="0" fontId="7" fillId="0" borderId="28" xfId="9" applyFont="1" applyBorder="1" applyAlignment="1">
      <alignment horizontal="center" vertical="center" wrapText="1"/>
    </xf>
    <xf numFmtId="0" fontId="7" fillId="0" borderId="41" xfId="9" applyFont="1" applyBorder="1" applyAlignment="1">
      <alignment horizontal="center" vertical="center" wrapText="1"/>
    </xf>
    <xf numFmtId="0" fontId="7" fillId="0" borderId="23" xfId="9" applyFont="1" applyBorder="1" applyAlignment="1">
      <alignment horizontal="center" vertical="center"/>
    </xf>
    <xf numFmtId="0" fontId="7" fillId="0" borderId="16" xfId="9" applyFont="1" applyBorder="1" applyAlignment="1">
      <alignment horizontal="center" vertical="center"/>
    </xf>
    <xf numFmtId="0" fontId="7" fillId="0" borderId="36" xfId="5" applyFont="1" applyBorder="1" applyAlignment="1">
      <alignment horizontal="center" vertical="center"/>
    </xf>
    <xf numFmtId="0" fontId="6" fillId="0" borderId="23" xfId="5" applyBorder="1" applyAlignment="1">
      <alignment vertical="center"/>
    </xf>
    <xf numFmtId="0" fontId="6" fillId="0" borderId="26" xfId="5" applyBorder="1" applyAlignment="1">
      <alignment vertical="center"/>
    </xf>
    <xf numFmtId="0" fontId="7" fillId="0" borderId="17" xfId="5" applyFont="1" applyBorder="1" applyAlignment="1">
      <alignment horizontal="left" vertical="center"/>
    </xf>
    <xf numFmtId="0" fontId="7" fillId="0" borderId="25" xfId="5" applyFont="1" applyBorder="1" applyAlignment="1">
      <alignment horizontal="left" vertical="center"/>
    </xf>
    <xf numFmtId="0" fontId="7" fillId="0" borderId="23" xfId="5" applyFont="1" applyBorder="1" applyAlignment="1">
      <alignment horizontal="left" vertical="center"/>
    </xf>
    <xf numFmtId="0" fontId="7" fillId="0" borderId="3" xfId="5" applyFont="1" applyBorder="1" applyAlignment="1">
      <alignment horizontal="left" vertical="center"/>
    </xf>
    <xf numFmtId="0" fontId="6" fillId="0" borderId="4" xfId="5" applyBorder="1" applyAlignment="1">
      <alignment horizontal="left" vertical="center"/>
    </xf>
    <xf numFmtId="0" fontId="6" fillId="0" borderId="21" xfId="5" applyBorder="1" applyAlignment="1">
      <alignment horizontal="left" vertical="center"/>
    </xf>
    <xf numFmtId="0" fontId="6" fillId="0" borderId="19" xfId="5" applyBorder="1" applyAlignment="1">
      <alignment horizontal="left" vertical="center"/>
    </xf>
    <xf numFmtId="0" fontId="6" fillId="0" borderId="37" xfId="5" applyBorder="1" applyAlignment="1">
      <alignment horizontal="left" vertical="center"/>
    </xf>
    <xf numFmtId="0" fontId="6" fillId="0" borderId="9" xfId="5" applyBorder="1" applyAlignment="1">
      <alignment horizontal="left" vertical="center"/>
    </xf>
    <xf numFmtId="0" fontId="6" fillId="0" borderId="10" xfId="5" applyBorder="1" applyAlignment="1">
      <alignment horizontal="left" vertical="center"/>
    </xf>
    <xf numFmtId="0" fontId="6" fillId="0" borderId="24" xfId="5" applyBorder="1" applyAlignment="1">
      <alignment horizontal="left" vertical="center"/>
    </xf>
    <xf numFmtId="0" fontId="7" fillId="0" borderId="19" xfId="8" applyFont="1" applyBorder="1" applyAlignment="1">
      <alignment horizontal="center" vertical="center"/>
    </xf>
    <xf numFmtId="0" fontId="7" fillId="0" borderId="37" xfId="8" applyFont="1" applyBorder="1" applyAlignment="1">
      <alignment horizontal="center" vertical="center"/>
    </xf>
    <xf numFmtId="0" fontId="7" fillId="0" borderId="38" xfId="8" applyFont="1" applyBorder="1" applyAlignment="1">
      <alignment horizontal="center" vertical="center"/>
    </xf>
    <xf numFmtId="0" fontId="7" fillId="0" borderId="39" xfId="8" applyFont="1" applyBorder="1" applyAlignment="1">
      <alignment horizontal="center" vertical="center"/>
    </xf>
    <xf numFmtId="0" fontId="7" fillId="0" borderId="28" xfId="8" applyFont="1" applyBorder="1" applyAlignment="1">
      <alignment horizontal="center" vertical="center"/>
    </xf>
    <xf numFmtId="0" fontId="7" fillId="0" borderId="9" xfId="8" applyFont="1" applyBorder="1" applyAlignment="1">
      <alignment horizontal="center" vertical="center"/>
    </xf>
    <xf numFmtId="0" fontId="7" fillId="0" borderId="17" xfId="8" applyFont="1" applyBorder="1" applyAlignment="1">
      <alignment horizontal="center" vertical="center"/>
    </xf>
    <xf numFmtId="0" fontId="10" fillId="0" borderId="33" xfId="5" applyFont="1" applyBorder="1" applyAlignment="1">
      <alignment horizontal="left" vertical="center" wrapText="1"/>
    </xf>
    <xf numFmtId="0" fontId="10" fillId="0" borderId="34" xfId="5" applyFont="1" applyBorder="1" applyAlignment="1">
      <alignment horizontal="left" vertical="center" wrapText="1"/>
    </xf>
    <xf numFmtId="0" fontId="6" fillId="0" borderId="34" xfId="5" applyBorder="1"/>
    <xf numFmtId="0" fontId="6" fillId="0" borderId="35" xfId="5" applyBorder="1"/>
    <xf numFmtId="0" fontId="7" fillId="0" borderId="0" xfId="5" applyFont="1" applyAlignment="1">
      <alignment horizontal="left" vertical="center"/>
    </xf>
    <xf numFmtId="0" fontId="6" fillId="0" borderId="0" xfId="5" applyAlignment="1">
      <alignment vertical="center"/>
    </xf>
    <xf numFmtId="0" fontId="7" fillId="0" borderId="25" xfId="8" applyFont="1" applyBorder="1" applyAlignment="1">
      <alignment horizontal="center" vertical="center"/>
    </xf>
    <xf numFmtId="0" fontId="7" fillId="0" borderId="17" xfId="8" applyFont="1" applyBorder="1" applyAlignment="1">
      <alignment horizontal="center" vertical="center" shrinkToFit="1"/>
    </xf>
    <xf numFmtId="0" fontId="7" fillId="0" borderId="16" xfId="8" applyFont="1" applyBorder="1" applyAlignment="1">
      <alignment horizontal="center" vertical="center"/>
    </xf>
    <xf numFmtId="0" fontId="7" fillId="0" borderId="23" xfId="8" applyFont="1" applyBorder="1" applyAlignment="1">
      <alignment horizontal="center" vertical="center"/>
    </xf>
    <xf numFmtId="0" fontId="7" fillId="0" borderId="16" xfId="5" applyFont="1" applyBorder="1" applyAlignment="1">
      <alignment horizontal="left" vertical="center"/>
    </xf>
    <xf numFmtId="0" fontId="6" fillId="0" borderId="0" xfId="5" applyAlignment="1">
      <alignment horizontal="center" vertical="center" shrinkToFit="1"/>
    </xf>
    <xf numFmtId="0" fontId="6" fillId="0" borderId="17" xfId="5" applyBorder="1" applyAlignment="1">
      <alignment horizontal="left" vertical="center"/>
    </xf>
    <xf numFmtId="0" fontId="7" fillId="0" borderId="3" xfId="5" applyFont="1" applyBorder="1" applyAlignment="1">
      <alignment horizontal="center" vertical="center" shrinkToFit="1"/>
    </xf>
    <xf numFmtId="0" fontId="6" fillId="0" borderId="21" xfId="5" applyBorder="1" applyAlignment="1">
      <alignment horizontal="center" vertical="center" shrinkToFit="1"/>
    </xf>
    <xf numFmtId="0" fontId="7" fillId="0" borderId="30" xfId="5" applyFont="1" applyBorder="1" applyAlignment="1">
      <alignment horizontal="center" vertical="center"/>
    </xf>
    <xf numFmtId="0" fontId="6" fillId="0" borderId="16" xfId="5" applyBorder="1" applyAlignment="1">
      <alignment horizontal="center" vertical="center"/>
    </xf>
    <xf numFmtId="0" fontId="7" fillId="0" borderId="28" xfId="5" applyFont="1" applyBorder="1" applyAlignment="1">
      <alignment horizontal="center" vertical="center"/>
    </xf>
    <xf numFmtId="0" fontId="7" fillId="0" borderId="30" xfId="5" applyFont="1" applyBorder="1" applyAlignment="1">
      <alignment horizontal="left" vertical="center" wrapText="1"/>
    </xf>
    <xf numFmtId="0" fontId="6" fillId="0" borderId="16" xfId="5" applyBorder="1" applyAlignment="1">
      <alignment vertical="center"/>
    </xf>
    <xf numFmtId="0" fontId="7" fillId="0" borderId="31" xfId="5" applyFont="1" applyBorder="1" applyAlignment="1">
      <alignment horizontal="center" vertical="center"/>
    </xf>
    <xf numFmtId="0" fontId="7" fillId="0" borderId="32" xfId="5" applyFont="1" applyBorder="1" applyAlignment="1">
      <alignment horizontal="center" vertical="center"/>
    </xf>
    <xf numFmtId="0" fontId="19" fillId="6" borderId="0" xfId="0" applyFont="1" applyFill="1">
      <alignment vertical="center"/>
    </xf>
    <xf numFmtId="0" fontId="5" fillId="0" borderId="0" xfId="3" applyFont="1" applyAlignment="1">
      <alignment horizontal="center" vertical="center"/>
    </xf>
    <xf numFmtId="0" fontId="5" fillId="7" borderId="25" xfId="3" applyFont="1" applyFill="1" applyBorder="1" applyAlignment="1">
      <alignment horizontal="center" vertical="center"/>
    </xf>
    <xf numFmtId="0" fontId="5" fillId="7" borderId="16" xfId="3" applyFont="1" applyFill="1" applyBorder="1" applyAlignment="1">
      <alignment horizontal="center" vertical="center"/>
    </xf>
    <xf numFmtId="0" fontId="5" fillId="0" borderId="0" xfId="3" applyFont="1" applyAlignment="1">
      <alignment horizontal="center" vertical="center" wrapText="1"/>
    </xf>
    <xf numFmtId="0" fontId="28" fillId="0" borderId="25" xfId="3" applyFont="1" applyBorder="1" applyAlignment="1">
      <alignment horizontal="center" vertical="center"/>
    </xf>
    <xf numFmtId="0" fontId="28" fillId="0" borderId="23" xfId="3" applyFont="1" applyBorder="1" applyAlignment="1">
      <alignment horizontal="center" vertical="center"/>
    </xf>
    <xf numFmtId="0" fontId="28" fillId="0" borderId="16" xfId="3" applyFont="1" applyBorder="1" applyAlignment="1">
      <alignment horizontal="center" vertical="center"/>
    </xf>
    <xf numFmtId="0" fontId="5" fillId="4" borderId="17" xfId="7" applyFont="1" applyFill="1" applyBorder="1" applyAlignment="1">
      <alignment horizontal="center" vertical="center"/>
    </xf>
    <xf numFmtId="0" fontId="12" fillId="0" borderId="17" xfId="7" applyFont="1" applyBorder="1" applyAlignment="1">
      <alignment horizontal="center" vertical="center"/>
    </xf>
    <xf numFmtId="180" fontId="5" fillId="0" borderId="17" xfId="7" applyNumberFormat="1" applyFont="1" applyBorder="1" applyAlignment="1">
      <alignment horizontal="center" vertical="center"/>
    </xf>
    <xf numFmtId="0" fontId="5" fillId="0" borderId="0" xfId="7" applyFont="1" applyAlignment="1">
      <alignment horizontal="left" vertical="center" wrapText="1"/>
    </xf>
    <xf numFmtId="0" fontId="5" fillId="7" borderId="17" xfId="7" applyFont="1" applyFill="1" applyBorder="1" applyAlignment="1">
      <alignment horizontal="center" vertical="center" wrapText="1"/>
    </xf>
    <xf numFmtId="0" fontId="5" fillId="0" borderId="25" xfId="7" applyFont="1" applyBorder="1" applyAlignment="1">
      <alignment horizontal="center" vertical="center" wrapText="1"/>
    </xf>
    <xf numFmtId="0" fontId="5" fillId="0" borderId="25" xfId="7" applyFont="1" applyBorder="1" applyAlignment="1">
      <alignment horizontal="left" vertical="center" wrapText="1"/>
    </xf>
    <xf numFmtId="0" fontId="5" fillId="0" borderId="23" xfId="7" applyFont="1" applyBorder="1" applyAlignment="1">
      <alignment horizontal="left" vertical="center" wrapText="1"/>
    </xf>
    <xf numFmtId="0" fontId="5" fillId="0" borderId="16" xfId="7" applyFont="1" applyBorder="1" applyAlignment="1">
      <alignment horizontal="left" vertical="center" wrapText="1"/>
    </xf>
    <xf numFmtId="0" fontId="5" fillId="0" borderId="25" xfId="7" applyFont="1" applyBorder="1" applyAlignment="1">
      <alignment horizontal="left" vertical="center"/>
    </xf>
    <xf numFmtId="0" fontId="5" fillId="0" borderId="23" xfId="7" applyFont="1" applyBorder="1" applyAlignment="1">
      <alignment horizontal="left" vertical="center"/>
    </xf>
    <xf numFmtId="0" fontId="5" fillId="0" borderId="16" xfId="7" applyFont="1" applyBorder="1" applyAlignment="1">
      <alignment horizontal="left" vertical="center"/>
    </xf>
    <xf numFmtId="0" fontId="5" fillId="0" borderId="4" xfId="7" applyFont="1" applyBorder="1" applyAlignment="1">
      <alignment horizontal="center" vertical="center" wrapText="1"/>
    </xf>
    <xf numFmtId="0" fontId="5" fillId="0" borderId="21" xfId="7" applyFont="1" applyBorder="1" applyAlignment="1">
      <alignment horizontal="center" vertical="center" wrapText="1"/>
    </xf>
    <xf numFmtId="0" fontId="5" fillId="0" borderId="0" xfId="7" applyFont="1" applyAlignment="1">
      <alignment horizontal="center" vertical="center" wrapText="1"/>
    </xf>
    <xf numFmtId="0" fontId="5" fillId="0" borderId="37" xfId="7" applyFont="1" applyBorder="1" applyAlignment="1">
      <alignment horizontal="center" vertical="center" wrapText="1"/>
    </xf>
    <xf numFmtId="0" fontId="5" fillId="0" borderId="10" xfId="7" applyFont="1" applyBorder="1" applyAlignment="1">
      <alignment horizontal="center" vertical="center" wrapText="1"/>
    </xf>
    <xf numFmtId="0" fontId="5" fillId="0" borderId="24" xfId="7" applyFont="1" applyBorder="1" applyAlignment="1">
      <alignment horizontal="center" vertical="center" wrapText="1"/>
    </xf>
    <xf numFmtId="0" fontId="5" fillId="4" borderId="40" xfId="7" applyFont="1" applyFill="1" applyBorder="1" applyAlignment="1">
      <alignment horizontal="center" vertical="center" wrapText="1"/>
    </xf>
    <xf numFmtId="0" fontId="5" fillId="4" borderId="22" xfId="7" applyFont="1" applyFill="1" applyBorder="1" applyAlignment="1">
      <alignment horizontal="center" vertical="center" wrapText="1"/>
    </xf>
    <xf numFmtId="0" fontId="5" fillId="4" borderId="28" xfId="7" applyFont="1" applyFill="1" applyBorder="1" applyAlignment="1">
      <alignment horizontal="center" vertical="center" wrapText="1"/>
    </xf>
    <xf numFmtId="0" fontId="5" fillId="4" borderId="25" xfId="7" applyFont="1" applyFill="1" applyBorder="1" applyAlignment="1">
      <alignment horizontal="center" vertical="center" wrapText="1"/>
    </xf>
    <xf numFmtId="0" fontId="5" fillId="4" borderId="16" xfId="7" applyFont="1" applyFill="1" applyBorder="1" applyAlignment="1">
      <alignment horizontal="center" vertical="center" wrapText="1"/>
    </xf>
    <xf numFmtId="0" fontId="5" fillId="7" borderId="25" xfId="7" applyFont="1" applyFill="1" applyBorder="1" applyAlignment="1">
      <alignment horizontal="center" vertical="center" wrapText="1"/>
    </xf>
    <xf numFmtId="0" fontId="5" fillId="7" borderId="23" xfId="7" applyFont="1" applyFill="1" applyBorder="1" applyAlignment="1">
      <alignment horizontal="center" vertical="center" wrapText="1"/>
    </xf>
    <xf numFmtId="0" fontId="5" fillId="7" borderId="16" xfId="7" applyFont="1" applyFill="1" applyBorder="1" applyAlignment="1">
      <alignment horizontal="center" vertical="center" wrapText="1"/>
    </xf>
    <xf numFmtId="0" fontId="5" fillId="0" borderId="21" xfId="7" applyFont="1" applyBorder="1" applyAlignment="1">
      <alignment horizontal="center" vertical="center"/>
    </xf>
    <xf numFmtId="0" fontId="5" fillId="0" borderId="37" xfId="7" applyFont="1" applyBorder="1" applyAlignment="1">
      <alignment horizontal="center" vertical="center"/>
    </xf>
    <xf numFmtId="0" fontId="5" fillId="0" borderId="9" xfId="7" applyFont="1" applyBorder="1" applyAlignment="1">
      <alignment horizontal="center" vertical="center"/>
    </xf>
    <xf numFmtId="0" fontId="5" fillId="0" borderId="24" xfId="7" applyFont="1" applyBorder="1" applyAlignment="1">
      <alignment horizontal="center" vertical="center"/>
    </xf>
    <xf numFmtId="0" fontId="5" fillId="0" borderId="0" xfId="7" applyFont="1" applyAlignment="1">
      <alignment horizontal="center" vertical="center"/>
    </xf>
    <xf numFmtId="181" fontId="5" fillId="0" borderId="25" xfId="3" applyNumberFormat="1" applyFont="1" applyBorder="1" applyAlignment="1">
      <alignment horizontal="center" vertical="center" wrapText="1"/>
    </xf>
    <xf numFmtId="181" fontId="5" fillId="0" borderId="23" xfId="3" applyNumberFormat="1" applyFont="1" applyBorder="1" applyAlignment="1">
      <alignment horizontal="center" vertical="center" wrapText="1"/>
    </xf>
    <xf numFmtId="181" fontId="5" fillId="0" borderId="16" xfId="3" applyNumberFormat="1" applyFont="1" applyBorder="1" applyAlignment="1">
      <alignment horizontal="center" vertical="center" wrapText="1"/>
    </xf>
    <xf numFmtId="0" fontId="28" fillId="0" borderId="23" xfId="7" applyFont="1" applyBorder="1" applyAlignment="1">
      <alignment horizontal="left" vertical="center" wrapText="1"/>
    </xf>
    <xf numFmtId="0" fontId="28" fillId="0" borderId="16" xfId="7" applyFont="1" applyBorder="1" applyAlignment="1">
      <alignment horizontal="left" vertical="center" wrapText="1"/>
    </xf>
    <xf numFmtId="176" fontId="5" fillId="0" borderId="22" xfId="7" applyNumberFormat="1" applyFont="1" applyBorder="1">
      <alignment vertical="center"/>
    </xf>
    <xf numFmtId="0" fontId="5" fillId="0" borderId="17" xfId="7" applyFont="1" applyBorder="1" applyAlignment="1">
      <alignment horizontal="left" vertical="center" wrapText="1"/>
    </xf>
    <xf numFmtId="0" fontId="5" fillId="0" borderId="25" xfId="7" applyFont="1" applyBorder="1" applyAlignment="1">
      <alignment horizontal="right" vertical="center"/>
    </xf>
    <xf numFmtId="0" fontId="5" fillId="0" borderId="16" xfId="7" applyFont="1" applyBorder="1" applyAlignment="1">
      <alignment horizontal="right" vertical="center"/>
    </xf>
    <xf numFmtId="0" fontId="5" fillId="0" borderId="22" xfId="7" applyFont="1" applyBorder="1" applyAlignment="1">
      <alignment horizontal="right" vertical="center"/>
    </xf>
    <xf numFmtId="0" fontId="5" fillId="0" borderId="19" xfId="7" applyFont="1" applyBorder="1" applyAlignment="1">
      <alignment horizontal="right" vertical="center"/>
    </xf>
    <xf numFmtId="0" fontId="5" fillId="0" borderId="37" xfId="7" applyFont="1" applyBorder="1" applyAlignment="1">
      <alignment horizontal="right" vertical="center"/>
    </xf>
    <xf numFmtId="0" fontId="5" fillId="0" borderId="22" xfId="7" applyFont="1" applyBorder="1" applyAlignment="1">
      <alignment horizontal="center" vertical="center" wrapText="1"/>
    </xf>
    <xf numFmtId="0" fontId="2" fillId="3" borderId="25" xfId="7" applyFont="1" applyFill="1" applyBorder="1" applyAlignment="1">
      <alignment horizontal="center" vertical="center" wrapText="1"/>
    </xf>
    <xf numFmtId="0" fontId="2" fillId="3" borderId="23" xfId="7" applyFont="1" applyFill="1" applyBorder="1" applyAlignment="1">
      <alignment horizontal="center" vertical="center" wrapText="1"/>
    </xf>
    <xf numFmtId="0" fontId="2" fillId="3" borderId="16" xfId="7" applyFont="1" applyFill="1" applyBorder="1" applyAlignment="1">
      <alignment horizontal="center" vertical="center" wrapText="1"/>
    </xf>
    <xf numFmtId="0" fontId="5" fillId="0" borderId="0" xfId="7" applyFont="1" applyAlignment="1">
      <alignment horizontal="right" vertical="center"/>
    </xf>
    <xf numFmtId="0" fontId="5" fillId="8" borderId="16" xfId="7" applyFont="1" applyFill="1" applyBorder="1" applyAlignment="1">
      <alignment horizontal="center" vertical="center" wrapText="1"/>
    </xf>
    <xf numFmtId="0" fontId="19" fillId="6" borderId="25" xfId="0" applyFont="1" applyFill="1" applyBorder="1">
      <alignment vertical="center"/>
    </xf>
    <xf numFmtId="0" fontId="19" fillId="6" borderId="23" xfId="0" applyFont="1" applyFill="1" applyBorder="1">
      <alignment vertical="center"/>
    </xf>
    <xf numFmtId="0" fontId="19" fillId="6" borderId="16" xfId="0" applyFont="1" applyFill="1" applyBorder="1">
      <alignment vertical="center"/>
    </xf>
    <xf numFmtId="0" fontId="5" fillId="0" borderId="25" xfId="7" applyFont="1" applyBorder="1">
      <alignment vertical="center"/>
    </xf>
    <xf numFmtId="0" fontId="5" fillId="0" borderId="23" xfId="7" applyFont="1" applyBorder="1">
      <alignment vertical="center"/>
    </xf>
    <xf numFmtId="0" fontId="5" fillId="0" borderId="16" xfId="7" applyFont="1" applyBorder="1">
      <alignment vertical="center"/>
    </xf>
    <xf numFmtId="0" fontId="2" fillId="0" borderId="25" xfId="7" applyFont="1" applyBorder="1">
      <alignment vertical="center"/>
    </xf>
    <xf numFmtId="0" fontId="12" fillId="0" borderId="53" xfId="7" applyFont="1" applyBorder="1" applyAlignment="1">
      <alignment horizontal="center" vertical="center"/>
    </xf>
    <xf numFmtId="0" fontId="12" fillId="0" borderId="54" xfId="7" applyFont="1" applyBorder="1" applyAlignment="1">
      <alignment horizontal="center" vertical="center"/>
    </xf>
    <xf numFmtId="176" fontId="5" fillId="0" borderId="25" xfId="7" applyNumberFormat="1" applyFont="1" applyBorder="1" applyAlignment="1">
      <alignment horizontal="center" vertical="center"/>
    </xf>
    <xf numFmtId="176" fontId="5" fillId="0" borderId="23" xfId="7" applyNumberFormat="1" applyFont="1" applyBorder="1" applyAlignment="1">
      <alignment horizontal="center" vertical="center"/>
    </xf>
    <xf numFmtId="176" fontId="5" fillId="0" borderId="25" xfId="7" applyNumberFormat="1" applyFont="1" applyBorder="1" applyAlignment="1">
      <alignment horizontal="center" vertical="center" wrapText="1"/>
    </xf>
    <xf numFmtId="176" fontId="5" fillId="0" borderId="16" xfId="7" applyNumberFormat="1" applyFont="1" applyBorder="1" applyAlignment="1">
      <alignment horizontal="center" vertical="center" wrapText="1"/>
    </xf>
    <xf numFmtId="0" fontId="5" fillId="0" borderId="3" xfId="7" applyFont="1" applyBorder="1" applyAlignment="1">
      <alignment horizontal="left" vertical="center" wrapText="1"/>
    </xf>
    <xf numFmtId="176" fontId="26" fillId="0" borderId="17" xfId="0" applyNumberFormat="1" applyFont="1" applyBorder="1">
      <alignment vertical="center"/>
    </xf>
    <xf numFmtId="0" fontId="5" fillId="7" borderId="25" xfId="3" applyFont="1" applyFill="1" applyBorder="1" applyAlignment="1">
      <alignment horizontal="center" vertical="center" wrapText="1"/>
    </xf>
    <xf numFmtId="0" fontId="5" fillId="7" borderId="16" xfId="3" applyFont="1" applyFill="1" applyBorder="1" applyAlignment="1">
      <alignment horizontal="center" vertical="center" wrapText="1"/>
    </xf>
    <xf numFmtId="0" fontId="14" fillId="0" borderId="25" xfId="7" applyFont="1" applyBorder="1" applyAlignment="1">
      <alignment horizontal="center" vertical="center" wrapText="1"/>
    </xf>
    <xf numFmtId="0" fontId="14" fillId="0" borderId="16" xfId="7" applyFont="1" applyBorder="1" applyAlignment="1">
      <alignment horizontal="center" vertical="center" wrapText="1"/>
    </xf>
    <xf numFmtId="176" fontId="5" fillId="0" borderId="40" xfId="7" applyNumberFormat="1" applyFont="1" applyBorder="1" applyAlignment="1">
      <alignment horizontal="center" vertical="center"/>
    </xf>
    <xf numFmtId="176" fontId="5" fillId="0" borderId="28" xfId="7" applyNumberFormat="1" applyFont="1" applyBorder="1" applyAlignment="1">
      <alignment horizontal="center" vertical="center"/>
    </xf>
    <xf numFmtId="176" fontId="26" fillId="0" borderId="17" xfId="0" quotePrefix="1" applyNumberFormat="1" applyFont="1" applyBorder="1">
      <alignment vertical="center"/>
    </xf>
    <xf numFmtId="0" fontId="27" fillId="0" borderId="17" xfId="0" applyFont="1" applyBorder="1" applyAlignment="1">
      <alignment horizontal="right" vertical="center"/>
    </xf>
    <xf numFmtId="0" fontId="5" fillId="0" borderId="53" xfId="3" applyFont="1" applyBorder="1" applyAlignment="1">
      <alignment horizontal="center" vertical="center" wrapText="1"/>
    </xf>
    <xf numFmtId="0" fontId="5" fillId="0" borderId="55" xfId="3" applyFont="1" applyBorder="1" applyAlignment="1">
      <alignment horizontal="center" vertical="center" wrapText="1"/>
    </xf>
    <xf numFmtId="0" fontId="5" fillId="0" borderId="54" xfId="3" applyFont="1" applyBorder="1" applyAlignment="1">
      <alignment horizontal="center" vertical="center" wrapText="1"/>
    </xf>
    <xf numFmtId="0" fontId="5" fillId="7" borderId="17" xfId="7" applyFont="1" applyFill="1" applyBorder="1" applyAlignment="1">
      <alignment horizontal="center" vertical="center"/>
    </xf>
    <xf numFmtId="0" fontId="5" fillId="6" borderId="17" xfId="7" applyFont="1" applyFill="1" applyBorder="1" applyAlignment="1">
      <alignment horizontal="center" vertical="center"/>
    </xf>
    <xf numFmtId="179" fontId="5" fillId="0" borderId="25" xfId="7" applyNumberFormat="1" applyFont="1" applyBorder="1" applyAlignment="1">
      <alignment horizontal="center" vertical="center"/>
    </xf>
    <xf numFmtId="179" fontId="5" fillId="0" borderId="23" xfId="7" applyNumberFormat="1" applyFont="1" applyBorder="1" applyAlignment="1">
      <alignment horizontal="center" vertical="center"/>
    </xf>
    <xf numFmtId="179" fontId="5" fillId="0" borderId="16" xfId="7" applyNumberFormat="1" applyFont="1" applyBorder="1" applyAlignment="1">
      <alignment horizontal="center" vertical="center"/>
    </xf>
    <xf numFmtId="0" fontId="5" fillId="3" borderId="25" xfId="7" applyFont="1" applyFill="1" applyBorder="1" applyAlignment="1">
      <alignment horizontal="center" vertical="center"/>
    </xf>
    <xf numFmtId="0" fontId="5" fillId="3" borderId="23" xfId="7" applyFont="1" applyFill="1" applyBorder="1" applyAlignment="1">
      <alignment horizontal="center" vertical="center"/>
    </xf>
    <xf numFmtId="0" fontId="5" fillId="3" borderId="16" xfId="7" applyFont="1" applyFill="1" applyBorder="1" applyAlignment="1">
      <alignment horizontal="center" vertical="center"/>
    </xf>
    <xf numFmtId="0" fontId="5" fillId="0" borderId="23" xfId="7" applyFont="1" applyBorder="1" applyAlignment="1">
      <alignment horizontal="center" vertical="center" wrapText="1"/>
    </xf>
    <xf numFmtId="176" fontId="5" fillId="0" borderId="17" xfId="7" applyNumberFormat="1" applyFont="1" applyBorder="1">
      <alignment vertical="center"/>
    </xf>
    <xf numFmtId="0" fontId="5" fillId="3" borderId="25" xfId="7" applyFont="1" applyFill="1" applyBorder="1" applyAlignment="1">
      <alignment horizontal="left" vertical="center"/>
    </xf>
    <xf numFmtId="0" fontId="5" fillId="3" borderId="23" xfId="7" applyFont="1" applyFill="1" applyBorder="1" applyAlignment="1">
      <alignment horizontal="left" vertical="center"/>
    </xf>
    <xf numFmtId="0" fontId="5" fillId="3" borderId="16" xfId="7" applyFont="1" applyFill="1" applyBorder="1" applyAlignment="1">
      <alignment horizontal="left" vertical="center"/>
    </xf>
    <xf numFmtId="0" fontId="5" fillId="6" borderId="17" xfId="7" applyFont="1" applyFill="1" applyBorder="1" applyAlignment="1">
      <alignment horizontal="right" vertical="center"/>
    </xf>
    <xf numFmtId="179" fontId="5" fillId="0" borderId="17" xfId="7" applyNumberFormat="1" applyFont="1" applyBorder="1" applyAlignment="1">
      <alignment horizontal="center" vertical="center" wrapText="1"/>
    </xf>
  </cellXfs>
  <cellStyles count="10">
    <cellStyle name="Normal 2" xfId="1" xr:uid="{00000000-0005-0000-0000-000000000000}"/>
    <cellStyle name="通貨 2" xfId="2" xr:uid="{00000000-0005-0000-0000-000001000000}"/>
    <cellStyle name="標準" xfId="0" builtinId="0"/>
    <cellStyle name="標準 2" xfId="3" xr:uid="{00000000-0005-0000-0000-000003000000}"/>
    <cellStyle name="標準 2 2" xfId="4" xr:uid="{00000000-0005-0000-0000-000004000000}"/>
    <cellStyle name="標準 3" xfId="5" xr:uid="{00000000-0005-0000-0000-000005000000}"/>
    <cellStyle name="標準 4" xfId="6" xr:uid="{00000000-0005-0000-0000-000006000000}"/>
    <cellStyle name="標準_③-２加算様式（就労）" xfId="7" xr:uid="{00000000-0005-0000-0000-000007000000}"/>
    <cellStyle name="標準_⑨指定申請様式（案）（多機能用総括表）" xfId="8" xr:uid="{00000000-0005-0000-0000-000008000000}"/>
    <cellStyle name="標準_事業者指定様式（多機能用総括表）作業ファイル"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sheetMetadata" Target="metadata.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AO74"/>
  <sheetViews>
    <sheetView tabSelected="1" showGridLines="0" view="pageBreakPreview" zoomScaleNormal="100" zoomScaleSheetLayoutView="100" workbookViewId="0"/>
  </sheetViews>
  <sheetFormatPr defaultColWidth="8.25" defaultRowHeight="21" customHeight="1" x14ac:dyDescent="0.55000000000000004"/>
  <cols>
    <col min="1" max="1" width="2.58203125" style="59" customWidth="1"/>
    <col min="2" max="2" width="14.5" style="61" customWidth="1"/>
    <col min="3" max="3" width="6.58203125" style="59" customWidth="1"/>
    <col min="4" max="5" width="7.58203125" style="59" customWidth="1"/>
    <col min="6" max="36" width="2.58203125" style="59" customWidth="1"/>
    <col min="37" max="37" width="6.58203125" style="59" customWidth="1"/>
    <col min="38" max="39" width="7.58203125" style="59" customWidth="1"/>
    <col min="40" max="40" width="5.58203125" style="59" customWidth="1"/>
    <col min="41" max="16384" width="8.25" style="59"/>
  </cols>
  <sheetData>
    <row r="1" spans="1:41" ht="20.149999999999999" customHeight="1" x14ac:dyDescent="0.55000000000000004">
      <c r="A1" s="95" t="s">
        <v>91</v>
      </c>
      <c r="C1" s="80"/>
      <c r="D1" s="80"/>
      <c r="E1" s="80"/>
      <c r="F1" s="80"/>
      <c r="G1" s="80"/>
      <c r="H1" s="80"/>
      <c r="I1" s="80"/>
      <c r="J1" s="80"/>
      <c r="K1" s="80"/>
      <c r="L1" s="80"/>
      <c r="M1" s="80"/>
      <c r="N1" s="80"/>
      <c r="O1" s="80"/>
      <c r="P1" s="80"/>
      <c r="Q1" s="80"/>
      <c r="R1" s="80"/>
      <c r="S1" s="80"/>
      <c r="T1" s="80"/>
      <c r="U1" s="80"/>
      <c r="V1" s="80"/>
      <c r="W1" s="80"/>
      <c r="X1" s="68"/>
      <c r="Y1" s="68"/>
      <c r="Z1" s="62"/>
      <c r="AA1" s="62"/>
      <c r="AB1" s="62"/>
      <c r="AC1" s="62"/>
      <c r="AD1" s="87"/>
      <c r="AE1" s="87"/>
      <c r="AF1" s="87"/>
      <c r="AG1" s="87"/>
      <c r="AH1" s="87"/>
      <c r="AI1" s="81" t="s">
        <v>92</v>
      </c>
      <c r="AJ1" s="81"/>
      <c r="AK1" s="187" t="s">
        <v>308</v>
      </c>
      <c r="AL1" s="187"/>
      <c r="AM1" s="187"/>
      <c r="AN1" s="187"/>
    </row>
    <row r="2" spans="1:41" ht="18" customHeight="1" x14ac:dyDescent="0.55000000000000004">
      <c r="A2" s="62"/>
      <c r="B2" s="63"/>
      <c r="C2" s="63"/>
      <c r="D2" s="63"/>
      <c r="E2" s="63"/>
      <c r="F2" s="63"/>
      <c r="G2" s="63"/>
      <c r="H2" s="63"/>
      <c r="I2" s="63"/>
      <c r="J2" s="63"/>
      <c r="K2" s="63"/>
      <c r="L2" s="63"/>
      <c r="M2" s="188">
        <v>2024</v>
      </c>
      <c r="N2" s="188"/>
      <c r="O2" s="188"/>
      <c r="P2" s="188"/>
      <c r="Q2" s="189" t="s">
        <v>94</v>
      </c>
      <c r="R2" s="189"/>
      <c r="S2" s="188">
        <v>5</v>
      </c>
      <c r="T2" s="188"/>
      <c r="U2" s="189" t="s">
        <v>95</v>
      </c>
      <c r="V2" s="189"/>
      <c r="W2" s="63"/>
      <c r="X2" s="63"/>
      <c r="Y2" s="63"/>
      <c r="Z2" s="62"/>
      <c r="AA2" s="62"/>
      <c r="AC2" s="81"/>
      <c r="AD2" s="63"/>
      <c r="AE2" s="63"/>
      <c r="AF2" s="63"/>
      <c r="AG2" s="63"/>
      <c r="AH2" s="63"/>
      <c r="AI2" s="81" t="s">
        <v>96</v>
      </c>
      <c r="AJ2" s="81"/>
      <c r="AK2" s="190"/>
      <c r="AL2" s="190"/>
      <c r="AM2" s="190"/>
      <c r="AN2" s="190"/>
    </row>
    <row r="3" spans="1:41" ht="18" customHeight="1" x14ac:dyDescent="0.55000000000000004">
      <c r="A3" s="85"/>
      <c r="B3" s="85"/>
      <c r="C3" s="85"/>
      <c r="D3" s="85"/>
      <c r="E3" s="85"/>
      <c r="F3" s="85"/>
      <c r="G3" s="85"/>
      <c r="H3" s="85"/>
      <c r="I3" s="85"/>
      <c r="J3" s="85"/>
      <c r="K3" s="85"/>
      <c r="L3" s="85"/>
      <c r="M3" s="85"/>
      <c r="N3" s="85"/>
      <c r="O3" s="85"/>
      <c r="P3" s="85"/>
      <c r="Q3" s="85"/>
      <c r="R3" s="85"/>
      <c r="S3" s="85"/>
      <c r="T3" s="85"/>
      <c r="U3" s="85"/>
      <c r="V3" s="85"/>
      <c r="W3" s="85"/>
      <c r="Y3" s="88"/>
      <c r="Z3" s="88"/>
      <c r="AA3" s="88"/>
      <c r="AB3" s="62"/>
      <c r="AC3" s="88"/>
      <c r="AD3" s="88"/>
      <c r="AE3" s="88"/>
      <c r="AF3" s="88"/>
      <c r="AG3" s="88"/>
      <c r="AH3" s="88"/>
      <c r="AI3" s="89" t="s">
        <v>97</v>
      </c>
      <c r="AJ3" s="81"/>
      <c r="AK3" s="186"/>
      <c r="AL3" s="186"/>
      <c r="AM3" s="186"/>
      <c r="AN3" s="186"/>
    </row>
    <row r="4" spans="1:41" ht="18" customHeight="1" x14ac:dyDescent="0.55000000000000004">
      <c r="A4" s="85"/>
      <c r="B4" s="85"/>
      <c r="C4" s="85"/>
      <c r="D4" s="85"/>
      <c r="E4" s="85"/>
      <c r="F4" s="85"/>
      <c r="G4" s="85"/>
      <c r="H4" s="85"/>
      <c r="I4" s="85"/>
      <c r="J4" s="85"/>
      <c r="K4" s="85"/>
      <c r="L4" s="85"/>
      <c r="M4" s="85"/>
      <c r="N4" s="85"/>
      <c r="O4" s="85"/>
      <c r="P4" s="85"/>
      <c r="Q4" s="85"/>
      <c r="R4" s="85"/>
      <c r="S4" s="85"/>
      <c r="T4" s="85"/>
      <c r="U4" s="85"/>
      <c r="V4" s="85"/>
      <c r="W4" s="85"/>
      <c r="Y4" s="88"/>
      <c r="Z4" s="88"/>
      <c r="AA4" s="88"/>
      <c r="AB4" s="62"/>
      <c r="AC4" s="88"/>
      <c r="AD4" s="88"/>
      <c r="AE4" s="88"/>
      <c r="AF4" s="88"/>
      <c r="AG4" s="88"/>
      <c r="AH4" s="88"/>
      <c r="AI4" s="89" t="s">
        <v>98</v>
      </c>
      <c r="AJ4" s="81"/>
      <c r="AK4" s="186"/>
      <c r="AL4" s="186"/>
      <c r="AM4" s="186"/>
      <c r="AN4" s="186"/>
    </row>
    <row r="5" spans="1:41" ht="18" customHeight="1" x14ac:dyDescent="0.55000000000000004">
      <c r="A5" s="85"/>
      <c r="B5" s="85"/>
      <c r="C5" s="85"/>
      <c r="D5" s="85"/>
      <c r="E5" s="85"/>
      <c r="F5" s="85"/>
      <c r="G5" s="85"/>
      <c r="H5" s="85"/>
      <c r="I5" s="85"/>
      <c r="J5" s="85"/>
      <c r="K5" s="85"/>
      <c r="L5" s="85"/>
      <c r="M5" s="85"/>
      <c r="N5" s="85"/>
      <c r="O5" s="85"/>
      <c r="P5" s="85"/>
      <c r="Q5" s="85"/>
      <c r="R5" s="85"/>
      <c r="S5" s="85"/>
      <c r="T5" s="85"/>
      <c r="U5" s="85"/>
      <c r="V5" s="85"/>
      <c r="W5" s="85"/>
      <c r="Y5" s="88"/>
      <c r="Z5" s="88"/>
      <c r="AA5" s="88"/>
      <c r="AB5" s="62"/>
      <c r="AC5" s="88"/>
      <c r="AD5" s="88"/>
      <c r="AE5" s="88"/>
      <c r="AF5" s="139"/>
      <c r="AG5" s="139"/>
      <c r="AH5" s="139"/>
      <c r="AI5" s="140" t="s">
        <v>300</v>
      </c>
      <c r="AJ5" s="81"/>
      <c r="AK5" s="186"/>
      <c r="AL5" s="186"/>
      <c r="AM5" s="186"/>
      <c r="AN5" s="186"/>
    </row>
    <row r="6" spans="1:41" ht="18" customHeight="1" x14ac:dyDescent="0.55000000000000004">
      <c r="A6" s="85"/>
      <c r="B6" s="85"/>
      <c r="C6" s="85"/>
      <c r="D6" s="85"/>
      <c r="E6" s="85"/>
      <c r="F6" s="85"/>
      <c r="G6" s="85"/>
      <c r="H6" s="85"/>
      <c r="I6" s="85"/>
      <c r="J6" s="85"/>
      <c r="K6" s="85"/>
      <c r="L6" s="85"/>
      <c r="M6" s="85"/>
      <c r="N6" s="85"/>
      <c r="O6" s="85"/>
      <c r="P6" s="85"/>
      <c r="Q6" s="85"/>
      <c r="R6" s="85"/>
      <c r="S6" s="85"/>
      <c r="U6" s="85"/>
      <c r="V6" s="85"/>
      <c r="W6" s="85"/>
      <c r="Y6" s="88"/>
      <c r="Z6" s="88"/>
      <c r="AA6" s="88"/>
      <c r="AB6" s="62"/>
      <c r="AC6" s="88"/>
      <c r="AD6" s="88"/>
      <c r="AE6" s="88"/>
      <c r="AF6" s="88"/>
      <c r="AG6" s="89" t="s">
        <v>99</v>
      </c>
      <c r="AH6" s="177"/>
      <c r="AI6" s="177"/>
      <c r="AJ6" s="177"/>
      <c r="AK6" s="88" t="s">
        <v>100</v>
      </c>
      <c r="AL6" s="99"/>
      <c r="AM6" s="88" t="s">
        <v>101</v>
      </c>
      <c r="AN6" s="62"/>
    </row>
    <row r="7" spans="1:41" ht="10" customHeight="1" x14ac:dyDescent="0.55000000000000004">
      <c r="A7" s="62"/>
      <c r="B7" s="67"/>
      <c r="C7" s="67"/>
      <c r="D7" s="67"/>
      <c r="E7" s="67"/>
      <c r="F7" s="67"/>
      <c r="G7" s="67"/>
      <c r="H7" s="67"/>
      <c r="I7" s="67"/>
      <c r="J7" s="67"/>
      <c r="K7" s="67"/>
      <c r="L7" s="67"/>
      <c r="M7" s="67"/>
      <c r="N7" s="67"/>
      <c r="O7" s="67"/>
      <c r="P7" s="67"/>
      <c r="Q7" s="67"/>
      <c r="R7" s="67"/>
      <c r="S7" s="67"/>
      <c r="T7" s="67"/>
      <c r="U7" s="67"/>
      <c r="V7" s="67"/>
      <c r="W7" s="67"/>
      <c r="X7" s="63"/>
      <c r="Y7" s="63"/>
      <c r="Z7" s="63"/>
      <c r="AA7" s="63"/>
      <c r="AB7" s="63"/>
      <c r="AC7" s="63"/>
      <c r="AD7" s="63"/>
      <c r="AE7" s="63"/>
      <c r="AF7" s="63"/>
      <c r="AG7" s="63"/>
      <c r="AH7" s="63"/>
      <c r="AI7" s="63"/>
      <c r="AJ7" s="63"/>
      <c r="AK7" s="63"/>
      <c r="AL7" s="63"/>
      <c r="AM7" s="62"/>
      <c r="AN7" s="62"/>
    </row>
    <row r="8" spans="1:41" ht="15" customHeight="1" x14ac:dyDescent="0.55000000000000004">
      <c r="A8" s="173" t="s">
        <v>102</v>
      </c>
      <c r="B8" s="178" t="s">
        <v>103</v>
      </c>
      <c r="C8" s="180" t="s">
        <v>104</v>
      </c>
      <c r="D8" s="154" t="s">
        <v>105</v>
      </c>
      <c r="E8" s="171" t="s">
        <v>106</v>
      </c>
      <c r="F8" s="183" t="s">
        <v>107</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75" t="s">
        <v>108</v>
      </c>
      <c r="AL8" s="158" t="s">
        <v>109</v>
      </c>
      <c r="AM8" s="176" t="s">
        <v>110</v>
      </c>
      <c r="AN8" s="176"/>
    </row>
    <row r="9" spans="1:41" ht="15" customHeight="1" x14ac:dyDescent="0.55000000000000004">
      <c r="A9" s="173"/>
      <c r="B9" s="179"/>
      <c r="C9" s="181"/>
      <c r="D9" s="154"/>
      <c r="E9" s="171"/>
      <c r="F9" s="154" t="s">
        <v>111</v>
      </c>
      <c r="G9" s="154"/>
      <c r="H9" s="154"/>
      <c r="I9" s="154"/>
      <c r="J9" s="154"/>
      <c r="K9" s="154"/>
      <c r="L9" s="154"/>
      <c r="M9" s="154" t="s">
        <v>112</v>
      </c>
      <c r="N9" s="154"/>
      <c r="O9" s="154"/>
      <c r="P9" s="154"/>
      <c r="Q9" s="154"/>
      <c r="R9" s="154"/>
      <c r="S9" s="154"/>
      <c r="T9" s="154" t="s">
        <v>113</v>
      </c>
      <c r="U9" s="154"/>
      <c r="V9" s="154"/>
      <c r="W9" s="154"/>
      <c r="X9" s="154"/>
      <c r="Y9" s="154"/>
      <c r="Z9" s="154"/>
      <c r="AA9" s="154" t="s">
        <v>114</v>
      </c>
      <c r="AB9" s="154"/>
      <c r="AC9" s="154"/>
      <c r="AD9" s="154"/>
      <c r="AE9" s="154"/>
      <c r="AF9" s="154"/>
      <c r="AG9" s="154"/>
      <c r="AH9" s="154" t="s">
        <v>115</v>
      </c>
      <c r="AI9" s="154"/>
      <c r="AJ9" s="154"/>
      <c r="AK9" s="175"/>
      <c r="AL9" s="158"/>
      <c r="AM9" s="176"/>
      <c r="AN9" s="176"/>
    </row>
    <row r="10" spans="1:41" ht="15" customHeight="1" x14ac:dyDescent="0.55000000000000004">
      <c r="A10" s="173"/>
      <c r="B10" s="184" t="s">
        <v>156</v>
      </c>
      <c r="C10" s="181"/>
      <c r="D10" s="154"/>
      <c r="E10" s="171"/>
      <c r="F10" s="64">
        <f>DATE($M$2,$S$2,1)</f>
      </c>
      <c r="G10" s="64">
        <f>DATE($M$2,$S$2,2)</f>
      </c>
      <c r="H10" s="64">
        <f>DATE($M$2,$S$2,3)</f>
      </c>
      <c r="I10" s="64">
        <f>DATE($M$2,$S$2,4)</f>
      </c>
      <c r="J10" s="64">
        <f>DATE($M$2,$S$2,5)</f>
      </c>
      <c r="K10" s="64">
        <f>DATE($M$2,$S$2,6)</f>
      </c>
      <c r="L10" s="64">
        <f>DATE($M$2,$S$2,7)</f>
      </c>
      <c r="M10" s="64">
        <f>DATE($M$2,$S$2,8)</f>
      </c>
      <c r="N10" s="64">
        <f>DATE($M$2,$S$2,9)</f>
      </c>
      <c r="O10" s="64">
        <f>DATE($M$2,$S$2,10)</f>
      </c>
      <c r="P10" s="64">
        <f>DATE($M$2,$S$2,11)</f>
      </c>
      <c r="Q10" s="64">
        <f>DATE($M$2,$S$2,12)</f>
      </c>
      <c r="R10" s="64">
        <f>DATE($M$2,$S$2,13)</f>
      </c>
      <c r="S10" s="64">
        <f>DATE($M$2,$S$2,14)</f>
      </c>
      <c r="T10" s="64">
        <f>DATE($M$2,$S$2,15)</f>
      </c>
      <c r="U10" s="64">
        <f>DATE($M$2,$S$2,16)</f>
      </c>
      <c r="V10" s="64">
        <f>DATE($M$2,$S$2,17)</f>
      </c>
      <c r="W10" s="64">
        <f>DATE($M$2,$S$2,18)</f>
      </c>
      <c r="X10" s="64">
        <f>DATE($M$2,$S$2,19)</f>
      </c>
      <c r="Y10" s="64">
        <f>DATE($M$2,$S$2,20)</f>
      </c>
      <c r="Z10" s="64">
        <f>DATE($M$2,$S$2,21)</f>
      </c>
      <c r="AA10" s="64">
        <f>DATE($M$2,$S$2,22)</f>
      </c>
      <c r="AB10" s="64">
        <f>DATE($M$2,$S$2,23)</f>
      </c>
      <c r="AC10" s="64">
        <f>DATE($M$2,$S$2,24)</f>
      </c>
      <c r="AD10" s="64">
        <f>DATE($M$2,$S$2,25)</f>
      </c>
      <c r="AE10" s="64">
        <f>DATE($M$2,$S$2,26)</f>
      </c>
      <c r="AF10" s="64">
        <f>DATE($M$2,$S$2,27)</f>
      </c>
      <c r="AG10" s="64">
        <f>DATE($M$2,$S$2,28)</f>
      </c>
      <c r="AH10" s="64">
        <f>IF(DAY(EOMONTH(F10,0))&lt;29,"",DATE($M$2,$S$2,29))</f>
      </c>
      <c r="AI10" s="64">
        <f>IF(DAY(EOMONTH(F10,0))&lt;30,"",DATE($M$2,$S$2,30))</f>
      </c>
      <c r="AJ10" s="64">
        <f>IF(DAY(EOMONTH(F10,0))&lt;31,"",DATE($M$2,$S$2,31))</f>
      </c>
      <c r="AK10" s="175"/>
      <c r="AL10" s="158"/>
      <c r="AM10" s="176"/>
      <c r="AN10" s="176"/>
    </row>
    <row r="11" spans="1:41" ht="15" customHeight="1" x14ac:dyDescent="0.55000000000000004">
      <c r="A11" s="173"/>
      <c r="B11" s="185"/>
      <c r="C11" s="182"/>
      <c r="D11" s="154"/>
      <c r="E11" s="171"/>
      <c r="F11" s="65">
        <f>DATE($M$2,$S$2,1)</f>
      </c>
      <c r="G11" s="65">
        <f>DATE($M$2,$S$2,2)</f>
      </c>
      <c r="H11" s="65">
        <f>DATE($M$2,$S$2,3)</f>
      </c>
      <c r="I11" s="65">
        <f>DATE($M$2,$S$2,4)</f>
      </c>
      <c r="J11" s="65">
        <f>DATE($M$2,$S$2,5)</f>
      </c>
      <c r="K11" s="65">
        <f>DATE($M$2,$S$2,6)</f>
      </c>
      <c r="L11" s="65">
        <f>DATE($M$2,$S$2,7)</f>
      </c>
      <c r="M11" s="65">
        <f>DATE($M$2,$S$2,8)</f>
      </c>
      <c r="N11" s="65">
        <f>DATE($M$2,$S$2,9)</f>
      </c>
      <c r="O11" s="65">
        <f>DATE($M$2,$S$2,10)</f>
      </c>
      <c r="P11" s="65">
        <f>DATE($M$2,$S$2,11)</f>
      </c>
      <c r="Q11" s="65">
        <f>DATE($M$2,$S$2,12)</f>
      </c>
      <c r="R11" s="65">
        <f>DATE($M$2,$S$2,13)</f>
      </c>
      <c r="S11" s="65">
        <f>DATE($M$2,$S$2,14)</f>
      </c>
      <c r="T11" s="65">
        <f>DATE($M$2,$S$2,15)</f>
      </c>
      <c r="U11" s="65">
        <f>DATE($M$2,$S$2,16)</f>
      </c>
      <c r="V11" s="65">
        <f>DATE($M$2,$S$2,17)</f>
      </c>
      <c r="W11" s="65">
        <f>DATE($M$2,$S$2,18)</f>
      </c>
      <c r="X11" s="65">
        <f>DATE($M$2,$S$2,19)</f>
      </c>
      <c r="Y11" s="65">
        <f>DATE($M$2,$S$2,20)</f>
      </c>
      <c r="Z11" s="65">
        <f>DATE($M$2,$S$2,21)</f>
      </c>
      <c r="AA11" s="65">
        <f>DATE($M$2,$S$2,22)</f>
      </c>
      <c r="AB11" s="65">
        <f>DATE($M$2,$S$2,23)</f>
      </c>
      <c r="AC11" s="65">
        <f>DATE($M$2,$S$2,24)</f>
      </c>
      <c r="AD11" s="65">
        <f>DATE($M$2,$S$2,25)</f>
      </c>
      <c r="AE11" s="65">
        <f>DATE($M$2,$S$2,26)</f>
      </c>
      <c r="AF11" s="65">
        <f>DATE($M$2,$S$2,27)</f>
      </c>
      <c r="AG11" s="65">
        <f>DATE($M$2,$S$2,28)</f>
      </c>
      <c r="AH11" s="65">
        <f>IF(DAY(EOMONTH(F11,0))&lt;29,"",DATE($M$2,$S$2,29))</f>
      </c>
      <c r="AI11" s="65">
        <f>IF(DAY(EOMONTH(F11,0))&lt;30,"",DATE($M$2,$S$2,30))</f>
      </c>
      <c r="AJ11" s="65">
        <f>IF(DAY(EOMONTH(F11,0))&lt;31,"",DATE($M$2,$S$2,31))</f>
      </c>
      <c r="AK11" s="175"/>
      <c r="AL11" s="158"/>
      <c r="AM11" s="176"/>
      <c r="AN11" s="176"/>
    </row>
    <row r="12" spans="1:41" ht="18" customHeight="1" x14ac:dyDescent="0.55000000000000004">
      <c r="A12" s="74">
        <v>1</v>
      </c>
      <c r="B12" s="103"/>
      <c r="C12" s="83"/>
      <c r="D12" s="104"/>
      <c r="E12" s="105"/>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0">
        <f>+SUM(F12:AJ12)</f>
      </c>
      <c r="AL12" s="71">
        <f>IF($AK$3="４週",AK12/4,AK12/(DAY(EOMONTH($F$10,0))/7))</f>
      </c>
      <c r="AM12" s="170"/>
      <c r="AN12" s="170"/>
      <c r="AO12" s="143">
        <f>IF(B12="","",IF(ISERROR(MATCH(B12,$C$37:$AM$37,0)),"その他職員",B12))</f>
      </c>
    </row>
    <row r="13" spans="1:41" ht="18" customHeight="1" x14ac:dyDescent="0.55000000000000004">
      <c r="A13" s="74">
        <v>2</v>
      </c>
      <c r="B13" s="103"/>
      <c r="C13" s="83"/>
      <c r="D13" s="104"/>
      <c r="E13" s="105"/>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0">
        <f>+SUM(F13:AJ13)</f>
      </c>
      <c r="AL13" s="71">
        <f>IF($AK$3="４週",AK13/4,AK13/(DAY(EOMONTH($F$10,0))/7))</f>
      </c>
      <c r="AM13" s="170"/>
      <c r="AN13" s="170"/>
      <c r="AO13" s="143">
        <f>IF(B13="","",IF(ISERROR(MATCH(B13,$C$37:$AM$37,0)),"その他職員",B13))</f>
      </c>
    </row>
    <row r="14" spans="1:41" ht="18" customHeight="1" x14ac:dyDescent="0.55000000000000004">
      <c r="A14" s="74">
        <v>3</v>
      </c>
      <c r="B14" s="103"/>
      <c r="C14" s="83"/>
      <c r="D14" s="104"/>
      <c r="E14" s="105"/>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0">
        <f>+SUM(F14:AJ14)</f>
      </c>
      <c r="AL14" s="71">
        <f>IF($AK$3="４週",AK14/4,AK14/(DAY(EOMONTH($F$10,0))/7))</f>
      </c>
      <c r="AM14" s="170"/>
      <c r="AN14" s="170"/>
      <c r="AO14" s="143">
        <f>IF(B14="","",IF(ISERROR(MATCH(B14,$C$37:$AM$37,0)),"その他職員",B14))</f>
      </c>
    </row>
    <row r="15" spans="1:41" ht="18" customHeight="1" x14ac:dyDescent="0.55000000000000004">
      <c r="A15" s="74">
        <v>4</v>
      </c>
      <c r="B15" s="103"/>
      <c r="C15" s="83"/>
      <c r="D15" s="104"/>
      <c r="E15" s="105"/>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0">
        <f>+SUM(F15:AJ15)</f>
      </c>
      <c r="AL15" s="71">
        <f>IF($AK$3="４週",AK15/4,AK15/(DAY(EOMONTH($F$10,0))/7))</f>
      </c>
      <c r="AM15" s="170"/>
      <c r="AN15" s="170"/>
      <c r="AO15" s="143">
        <f>IF(B15="","",IF(ISERROR(MATCH(B15,$C$37:$AM$37,0)),"その他職員",B15))</f>
      </c>
    </row>
    <row r="16" spans="1:41" ht="18" customHeight="1" x14ac:dyDescent="0.55000000000000004">
      <c r="A16" s="74">
        <v>5</v>
      </c>
      <c r="B16" s="103"/>
      <c r="C16" s="83"/>
      <c r="D16" s="104"/>
      <c r="E16" s="105"/>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70">
        <f>+SUM(F16:AJ16)</f>
      </c>
      <c r="AL16" s="71">
        <f>IF($AK$3="４週",AK16/4,AK16/(DAY(EOMONTH($F$10,0))/7))</f>
      </c>
      <c r="AM16" s="170"/>
      <c r="AN16" s="170"/>
      <c r="AO16" s="143">
        <f>IF(B16="","",IF(ISERROR(MATCH(B16,$C$37:$AM$37,0)),"その他職員",B16))</f>
      </c>
    </row>
    <row r="17" spans="1:41" ht="18" customHeight="1" x14ac:dyDescent="0.55000000000000004">
      <c r="A17" s="74">
        <v>6</v>
      </c>
      <c r="B17" s="103"/>
      <c r="C17" s="83"/>
      <c r="D17" s="104"/>
      <c r="E17" s="105"/>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0">
        <f>+SUM(F17:AJ17)</f>
      </c>
      <c r="AL17" s="71">
        <f>IF($AK$3="４週",AK17/4,AK17/(DAY(EOMONTH($F$10,0))/7))</f>
      </c>
      <c r="AM17" s="170"/>
      <c r="AN17" s="170"/>
      <c r="AO17" s="143">
        <f>IF(B17="","",IF(ISERROR(MATCH(B17,$C$37:$AM$37,0)),"その他職員",B17))</f>
      </c>
    </row>
    <row r="18" spans="1:41" ht="18" customHeight="1" x14ac:dyDescent="0.55000000000000004">
      <c r="A18" s="74">
        <v>7</v>
      </c>
      <c r="B18" s="103"/>
      <c r="C18" s="83"/>
      <c r="D18" s="104"/>
      <c r="E18" s="105"/>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0">
        <f>+SUM(F18:AJ18)</f>
      </c>
      <c r="AL18" s="71">
        <f>IF($AK$3="４週",AK18/4,AK18/(DAY(EOMONTH($F$10,0))/7))</f>
      </c>
      <c r="AM18" s="170"/>
      <c r="AN18" s="170"/>
      <c r="AO18" s="143">
        <f>IF(B18="","",IF(ISERROR(MATCH(B18,$C$37:$AM$37,0)),"その他職員",B18))</f>
      </c>
    </row>
    <row r="19" spans="1:41" ht="18" customHeight="1" x14ac:dyDescent="0.55000000000000004">
      <c r="A19" s="74">
        <v>8</v>
      </c>
      <c r="B19" s="103"/>
      <c r="C19" s="83"/>
      <c r="D19" s="104"/>
      <c r="E19" s="105"/>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0">
        <f>+SUM(F19:AJ19)</f>
      </c>
      <c r="AL19" s="71">
        <f>IF($AK$3="４週",AK19/4,AK19/(DAY(EOMONTH($F$10,0))/7))</f>
      </c>
      <c r="AM19" s="170"/>
      <c r="AN19" s="170"/>
      <c r="AO19" s="143">
        <f>IF(B19="","",IF(ISERROR(MATCH(B19,$C$37:$AM$37,0)),"その他職員",B19))</f>
      </c>
    </row>
    <row r="20" spans="1:41" ht="18" customHeight="1" x14ac:dyDescent="0.55000000000000004">
      <c r="A20" s="74">
        <v>9</v>
      </c>
      <c r="B20" s="103"/>
      <c r="C20" s="83"/>
      <c r="D20" s="104"/>
      <c r="E20" s="105"/>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0">
        <f>+SUM(F20:AJ20)</f>
      </c>
      <c r="AL20" s="71">
        <f>IF($AK$3="４週",AK20/4,AK20/(DAY(EOMONTH($F$10,0))/7))</f>
      </c>
      <c r="AM20" s="170"/>
      <c r="AN20" s="170"/>
      <c r="AO20" s="143">
        <f>IF(B20="","",IF(ISERROR(MATCH(B20,$C$37:$AM$37,0)),"その他職員",B20))</f>
      </c>
    </row>
    <row r="21" spans="1:41" ht="18" customHeight="1" x14ac:dyDescent="0.55000000000000004">
      <c r="A21" s="74">
        <v>10</v>
      </c>
      <c r="B21" s="103"/>
      <c r="C21" s="83"/>
      <c r="D21" s="104"/>
      <c r="E21" s="105"/>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0">
        <f>+SUM(F21:AJ21)</f>
      </c>
      <c r="AL21" s="71">
        <f>IF($AK$3="４週",AK21/4,AK21/(DAY(EOMONTH($F$10,0))/7))</f>
      </c>
      <c r="AM21" s="170"/>
      <c r="AN21" s="170"/>
      <c r="AO21" s="143">
        <f>IF(B21="","",IF(ISERROR(MATCH(B21,$C$37:$AM$37,0)),"その他職員",B21))</f>
      </c>
    </row>
    <row r="22" spans="1:41" ht="18" customHeight="1" x14ac:dyDescent="0.55000000000000004">
      <c r="A22" s="74">
        <v>11</v>
      </c>
      <c r="B22" s="103"/>
      <c r="C22" s="83"/>
      <c r="D22" s="104"/>
      <c r="E22" s="105"/>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0">
        <f>+SUM(F22:AJ22)</f>
      </c>
      <c r="AL22" s="71">
        <f>IF($AK$3="４週",AK22/4,AK22/(DAY(EOMONTH($F$10,0))/7))</f>
      </c>
      <c r="AM22" s="170"/>
      <c r="AN22" s="170"/>
      <c r="AO22" s="143">
        <f>IF(B22="","",IF(ISERROR(MATCH(B22,$C$37:$AM$37,0)),"その他職員",B22))</f>
      </c>
    </row>
    <row r="23" spans="1:41" ht="18" customHeight="1" x14ac:dyDescent="0.55000000000000004">
      <c r="A23" s="74">
        <v>12</v>
      </c>
      <c r="B23" s="103"/>
      <c r="C23" s="83"/>
      <c r="D23" s="104"/>
      <c r="E23" s="105"/>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0">
        <f>+SUM(F23:AJ23)</f>
      </c>
      <c r="AL23" s="71">
        <f>IF($AK$3="４週",AK23/4,AK23/(DAY(EOMONTH($F$10,0))/7))</f>
      </c>
      <c r="AM23" s="170"/>
      <c r="AN23" s="170"/>
      <c r="AO23" s="143">
        <f>IF(B23="","",IF(ISERROR(MATCH(B23,$C$37:$AM$37,0)),"その他職員",B23))</f>
      </c>
    </row>
    <row r="24" spans="1:41" ht="18" customHeight="1" x14ac:dyDescent="0.55000000000000004">
      <c r="A24" s="74">
        <v>13</v>
      </c>
      <c r="B24" s="103"/>
      <c r="C24" s="83"/>
      <c r="D24" s="104"/>
      <c r="E24" s="105"/>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0">
        <f>+SUM(F24:AJ24)</f>
      </c>
      <c r="AL24" s="71">
        <f>IF($AK$3="４週",AK24/4,AK24/(DAY(EOMONTH($F$10,0))/7))</f>
      </c>
      <c r="AM24" s="170"/>
      <c r="AN24" s="170"/>
      <c r="AO24" s="143">
        <f>IF(B24="","",IF(ISERROR(MATCH(B24,$C$37:$AM$37,0)),"その他職員",B24))</f>
      </c>
    </row>
    <row r="25" spans="1:41" ht="18" customHeight="1" x14ac:dyDescent="0.55000000000000004">
      <c r="A25" s="74">
        <v>14</v>
      </c>
      <c r="B25" s="103"/>
      <c r="C25" s="83"/>
      <c r="D25" s="104"/>
      <c r="E25" s="105"/>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0">
        <f>+SUM(F25:AJ25)</f>
      </c>
      <c r="AL25" s="71">
        <f>IF($AK$3="４週",AK25/4,AK25/(DAY(EOMONTH($F$10,0))/7))</f>
      </c>
      <c r="AM25" s="170"/>
      <c r="AN25" s="170"/>
      <c r="AO25" s="143">
        <f>IF(B25="","",IF(ISERROR(MATCH(B25,$C$37:$AM$37,0)),"その他職員",B25))</f>
      </c>
    </row>
    <row r="26" spans="1:41" ht="18" customHeight="1" x14ac:dyDescent="0.55000000000000004">
      <c r="A26" s="74">
        <v>15</v>
      </c>
      <c r="B26" s="103"/>
      <c r="C26" s="83"/>
      <c r="D26" s="104"/>
      <c r="E26" s="105"/>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0">
        <f>+SUM(F26:AJ26)</f>
      </c>
      <c r="AL26" s="71">
        <f>IF($AK$3="４週",AK26/4,AK26/(DAY(EOMONTH($F$10,0))/7))</f>
      </c>
      <c r="AM26" s="170"/>
      <c r="AN26" s="170"/>
      <c r="AO26" s="143">
        <f>IF(B26="","",IF(ISERROR(MATCH(B26,$C$37:$AM$37,0)),"その他職員",B26))</f>
      </c>
    </row>
    <row r="27" spans="1:41" ht="18" customHeight="1" x14ac:dyDescent="0.55000000000000004">
      <c r="A27" s="74">
        <v>16</v>
      </c>
      <c r="B27" s="103"/>
      <c r="C27" s="83"/>
      <c r="D27" s="104"/>
      <c r="E27" s="105"/>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0">
        <f>+SUM(F27:AJ27)</f>
      </c>
      <c r="AL27" s="71">
        <f>IF($AK$3="４週",AK27/4,AK27/(DAY(EOMONTH($F$10,0))/7))</f>
      </c>
      <c r="AM27" s="170"/>
      <c r="AN27" s="170"/>
      <c r="AO27" s="143">
        <f>IF(B27="","",IF(ISERROR(MATCH(B27,$C$37:$AM$37,0)),"その他職員",B27))</f>
      </c>
    </row>
    <row r="28" spans="1:41" ht="18" customHeight="1" x14ac:dyDescent="0.55000000000000004">
      <c r="A28" s="74">
        <v>17</v>
      </c>
      <c r="B28" s="103"/>
      <c r="C28" s="83"/>
      <c r="D28" s="104"/>
      <c r="E28" s="105"/>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0">
        <f>+SUM(F28:AJ28)</f>
      </c>
      <c r="AL28" s="71">
        <f>IF($AK$3="４週",AK28/4,AK28/(DAY(EOMONTH($F$10,0))/7))</f>
      </c>
      <c r="AM28" s="170"/>
      <c r="AN28" s="170"/>
      <c r="AO28" s="143">
        <f>IF(B28="","",IF(ISERROR(MATCH(B28,$C$37:$AM$37,0)),"その他職員",B28))</f>
      </c>
    </row>
    <row r="29" spans="1:41" ht="18" customHeight="1" x14ac:dyDescent="0.55000000000000004">
      <c r="A29" s="74">
        <v>18</v>
      </c>
      <c r="B29" s="103"/>
      <c r="C29" s="83"/>
      <c r="D29" s="104"/>
      <c r="E29" s="105"/>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70">
        <f>+SUM(F29:AJ29)</f>
      </c>
      <c r="AL29" s="71">
        <f>IF($AK$3="４週",AK29/4,AK29/(DAY(EOMONTH($F$10,0))/7))</f>
      </c>
      <c r="AM29" s="170"/>
      <c r="AN29" s="170"/>
      <c r="AO29" s="143">
        <f>IF(B29="","",IF(ISERROR(MATCH(B29,$C$37:$AM$37,0)),"その他職員",B29))</f>
      </c>
    </row>
    <row r="30" spans="1:41" ht="18" customHeight="1" x14ac:dyDescent="0.55000000000000004">
      <c r="A30" s="74">
        <v>19</v>
      </c>
      <c r="B30" s="103"/>
      <c r="C30" s="83"/>
      <c r="D30" s="104"/>
      <c r="E30" s="105"/>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0">
        <f>+SUM(F30:AJ30)</f>
      </c>
      <c r="AL30" s="71">
        <f>IF($AK$3="４週",AK30/4,AK30/(DAY(EOMONTH($F$10,0))/7))</f>
      </c>
      <c r="AM30" s="170"/>
      <c r="AN30" s="170"/>
      <c r="AO30" s="143">
        <f>IF(B30="","",IF(ISERROR(MATCH(B30,$C$37:$AM$37,0)),"その他職員",B30))</f>
      </c>
    </row>
    <row r="31" spans="1:41" ht="18" customHeight="1" x14ac:dyDescent="0.55000000000000004">
      <c r="A31" s="74">
        <v>20</v>
      </c>
      <c r="B31" s="103"/>
      <c r="C31" s="83"/>
      <c r="D31" s="104"/>
      <c r="E31" s="105"/>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0">
        <f>+SUM(F31:AJ31)</f>
      </c>
      <c r="AL31" s="71">
        <f>IF($AK$3="４週",AK31/4,AK31/(DAY(EOMONTH($F$10,0))/7))</f>
      </c>
      <c r="AM31" s="170"/>
      <c r="AN31" s="170"/>
      <c r="AO31" s="143">
        <f>IF(B31="","",IF(ISERROR(MATCH(B31,$C$37:$AM$37,0)),"その他職員",B31))</f>
      </c>
    </row>
    <row r="32" spans="1:41" ht="18" customHeight="1" x14ac:dyDescent="0.55000000000000004">
      <c r="A32" s="171" t="s">
        <v>116</v>
      </c>
      <c r="B32" s="172"/>
      <c r="C32" s="172"/>
      <c r="D32" s="172"/>
      <c r="E32" s="172"/>
      <c r="F32" s="72">
        <f>+SUM(F12:F31)</f>
      </c>
      <c r="G32" s="72">
        <f>+SUM(G12:G31)</f>
      </c>
      <c r="H32" s="72">
        <f>+SUM(H12:H31)</f>
      </c>
      <c r="I32" s="72">
        <f>+SUM(I12:I31)</f>
      </c>
      <c r="J32" s="72">
        <f>+SUM(J12:J31)</f>
      </c>
      <c r="K32" s="72">
        <f>+SUM(K12:K31)</f>
      </c>
      <c r="L32" s="72">
        <f>+SUM(L12:L31)</f>
      </c>
      <c r="M32" s="72">
        <f>+SUM(M12:M31)</f>
      </c>
      <c r="N32" s="72">
        <f>+SUM(N12:N31)</f>
      </c>
      <c r="O32" s="72">
        <f>+SUM(O12:O31)</f>
      </c>
      <c r="P32" s="72">
        <f>+SUM(P12:P31)</f>
      </c>
      <c r="Q32" s="72">
        <f>+SUM(Q12:Q31)</f>
      </c>
      <c r="R32" s="72">
        <f>+SUM(R12:R31)</f>
      </c>
      <c r="S32" s="72">
        <f>+SUM(S12:S31)</f>
      </c>
      <c r="T32" s="72">
        <f>+SUM(T12:T31)</f>
      </c>
      <c r="U32" s="72">
        <f>+SUM(U12:U31)</f>
      </c>
      <c r="V32" s="72">
        <f>+SUM(V12:V31)</f>
      </c>
      <c r="W32" s="72">
        <f>+SUM(W12:W31)</f>
      </c>
      <c r="X32" s="72">
        <f>+SUM(X12:X31)</f>
      </c>
      <c r="Y32" s="72">
        <f>+SUM(Y12:Y31)</f>
      </c>
      <c r="Z32" s="72">
        <f>+SUM(Z12:Z31)</f>
      </c>
      <c r="AA32" s="72">
        <f>+SUM(AA12:AA31)</f>
      </c>
      <c r="AB32" s="72">
        <f>+SUM(AB12:AB31)</f>
      </c>
      <c r="AC32" s="72">
        <f>+SUM(AC12:AC31)</f>
      </c>
      <c r="AD32" s="72">
        <f>+SUM(AD12:AD31)</f>
      </c>
      <c r="AE32" s="72">
        <f>+SUM(AE12:AE31)</f>
      </c>
      <c r="AF32" s="72">
        <f>+SUM(AF12:AF31)</f>
      </c>
      <c r="AG32" s="72">
        <f>+SUM(AG12:AG31)</f>
      </c>
      <c r="AH32" s="72">
        <f>+SUM(AH12:AH31)</f>
      </c>
      <c r="AI32" s="72">
        <f>+SUM(AI12:AI31)</f>
      </c>
      <c r="AJ32" s="72">
        <f>+SUM(AJ12:AJ31)</f>
      </c>
      <c r="AK32" s="70">
        <f>+SUM(F32:AJ32)</f>
      </c>
      <c r="AL32" s="71">
        <f>IF($AK$3="４週",AK32/4,AK32/(DAY(EOMONTH($F$10,0))/7))</f>
      </c>
      <c r="AM32" s="173"/>
      <c r="AN32" s="173"/>
    </row>
    <row r="33" spans="1:40" ht="18" customHeight="1" x14ac:dyDescent="0.55000000000000004">
      <c r="A33" s="172" t="s">
        <v>117</v>
      </c>
      <c r="B33" s="172"/>
      <c r="C33" s="172"/>
      <c r="D33" s="172"/>
      <c r="E33" s="174"/>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72"/>
      <c r="AL33" s="73"/>
      <c r="AM33" s="173"/>
      <c r="AN33" s="173"/>
    </row>
    <row r="34" spans="1:40" ht="15" customHeight="1" x14ac:dyDescent="0.55000000000000004">
      <c r="A34" s="67"/>
      <c r="B34" s="67"/>
      <c r="C34" s="67"/>
      <c r="D34" s="67"/>
      <c r="E34" s="67"/>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7"/>
      <c r="AL34" s="67"/>
      <c r="AM34" s="62"/>
    </row>
    <row r="35" spans="1:40" ht="15" customHeight="1" x14ac:dyDescent="0.55000000000000004">
      <c r="A35" s="67"/>
      <c r="B35" s="67"/>
      <c r="C35" s="67"/>
      <c r="D35" s="67"/>
      <c r="E35" s="67"/>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7"/>
      <c r="AL35" s="67"/>
      <c r="AM35" s="62"/>
    </row>
    <row r="36" spans="1:40" ht="21" customHeight="1" x14ac:dyDescent="0.55000000000000004">
      <c r="A36" s="68" t="s">
        <v>305</v>
      </c>
      <c r="B36" s="59"/>
      <c r="C36" s="63"/>
      <c r="D36" s="63"/>
      <c r="E36" s="63"/>
      <c r="F36" s="63"/>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3"/>
      <c r="AM36" s="63"/>
      <c r="AN36" s="62"/>
    </row>
    <row r="37" spans="1:40" ht="25" customHeight="1" x14ac:dyDescent="0.55000000000000004">
      <c r="A37" s="62"/>
      <c r="B37" s="67"/>
      <c r="C37" s="151">
        <f>IF(VLOOKUP($AK$1,選択肢!$A$1:$J$32,C42,FALSE)=0,"-",VLOOKUP($AK$1,選択肢!$A$1:$J$32,C42,FALSE))</f>
      </c>
      <c r="D37" s="152"/>
      <c r="E37" s="160">
        <f>IF(VLOOKUP($AK$1,選択肢!$A$1:$J$32,E42,FALSE)=0,"-",VLOOKUP($AK$1,選択肢!$A$1:$J$32,E42,FALSE))</f>
      </c>
      <c r="F37" s="160"/>
      <c r="G37" s="160"/>
      <c r="H37" s="160"/>
      <c r="I37" s="151">
        <f>IF(VLOOKUP($AK$1,選択肢!$A$1:$J$32,I42,FALSE)=0,"-",VLOOKUP($AK$1,選択肢!$A$1:$J$32,I42,FALSE))</f>
      </c>
      <c r="J37" s="152"/>
      <c r="K37" s="152"/>
      <c r="L37" s="152"/>
      <c r="M37" s="152"/>
      <c r="N37" s="153"/>
      <c r="O37" s="151">
        <f>IF(VLOOKUP($AK$1,選択肢!$A$1:$J$32,O42,FALSE)=0,"-",VLOOKUP($AK$1,選択肢!$A$1:$J$32,O42,FALSE))</f>
      </c>
      <c r="P37" s="152"/>
      <c r="Q37" s="152"/>
      <c r="R37" s="152"/>
      <c r="S37" s="152"/>
      <c r="T37" s="153"/>
      <c r="U37" s="151">
        <f>IF(VLOOKUP($AK$1,選択肢!$A$1:$J$32,U42,FALSE)=0,"-",VLOOKUP($AK$1,選択肢!$A$1:$J$32,U42,FALSE))</f>
      </c>
      <c r="V37" s="152"/>
      <c r="W37" s="152"/>
      <c r="X37" s="152"/>
      <c r="Y37" s="152"/>
      <c r="Z37" s="153"/>
      <c r="AA37" s="151">
        <f>IF(VLOOKUP($AK$1,選択肢!$A$1:$J$32,AA42,FALSE)=0,"-",VLOOKUP($AK$1,選択肢!$A$1:$J$32,AA42,FALSE))</f>
      </c>
      <c r="AB37" s="152"/>
      <c r="AC37" s="152"/>
      <c r="AD37" s="152"/>
      <c r="AE37" s="152"/>
      <c r="AF37" s="153"/>
      <c r="AG37" s="160">
        <f>IF(VLOOKUP($AK$1,選択肢!$A$1:$J$32,AG42,FALSE)=0,"-",VLOOKUP($AK$1,選択肢!$A$1:$J$32,AG42,FALSE))</f>
      </c>
      <c r="AH37" s="160"/>
      <c r="AI37" s="160"/>
      <c r="AJ37" s="160"/>
      <c r="AK37" s="160"/>
      <c r="AL37" s="160">
        <f>IF(VLOOKUP($AK$1,選択肢!$A$1:$J$32,AL42,FALSE)=0,"-",VLOOKUP($AK$1,選択肢!$A$1:$J$32,AL42,FALSE))</f>
      </c>
      <c r="AM37" s="160"/>
      <c r="AN37" s="62"/>
    </row>
    <row r="38" spans="1:40" ht="18" customHeight="1" x14ac:dyDescent="0.55000000000000004">
      <c r="A38" s="62"/>
      <c r="B38" s="67"/>
      <c r="C38" s="102" t="s">
        <v>190</v>
      </c>
      <c r="D38" s="102" t="s">
        <v>191</v>
      </c>
      <c r="E38" s="101" t="s">
        <v>190</v>
      </c>
      <c r="F38" s="161" t="s">
        <v>191</v>
      </c>
      <c r="G38" s="161"/>
      <c r="H38" s="161"/>
      <c r="I38" s="155" t="s">
        <v>190</v>
      </c>
      <c r="J38" s="156"/>
      <c r="K38" s="157"/>
      <c r="L38" s="155" t="s">
        <v>191</v>
      </c>
      <c r="M38" s="156"/>
      <c r="N38" s="157"/>
      <c r="O38" s="155" t="s">
        <v>190</v>
      </c>
      <c r="P38" s="156"/>
      <c r="Q38" s="157"/>
      <c r="R38" s="155" t="s">
        <v>191</v>
      </c>
      <c r="S38" s="156"/>
      <c r="T38" s="157"/>
      <c r="U38" s="155" t="s">
        <v>190</v>
      </c>
      <c r="V38" s="156"/>
      <c r="W38" s="157"/>
      <c r="X38" s="155" t="s">
        <v>191</v>
      </c>
      <c r="Y38" s="156"/>
      <c r="Z38" s="157"/>
      <c r="AA38" s="155" t="s">
        <v>190</v>
      </c>
      <c r="AB38" s="156"/>
      <c r="AC38" s="157"/>
      <c r="AD38" s="155" t="s">
        <v>191</v>
      </c>
      <c r="AE38" s="156"/>
      <c r="AF38" s="157"/>
      <c r="AG38" s="155" t="s">
        <v>190</v>
      </c>
      <c r="AH38" s="156"/>
      <c r="AI38" s="157"/>
      <c r="AJ38" s="155" t="s">
        <v>191</v>
      </c>
      <c r="AK38" s="157"/>
      <c r="AL38" s="101" t="s">
        <v>27</v>
      </c>
      <c r="AM38" s="101" t="s">
        <v>216</v>
      </c>
      <c r="AN38" s="62"/>
    </row>
    <row r="39" spans="1:40" ht="18" customHeight="1" x14ac:dyDescent="0.55000000000000004">
      <c r="A39" s="62"/>
      <c r="B39" s="75" t="s">
        <v>192</v>
      </c>
      <c r="C39" s="101">
        <f>COUNTIFS($AO$12:$AO$31,C$37,$C$12:$C$31,"A",$E$12:$E$31,"*")</f>
      </c>
      <c r="D39" s="101">
        <f>COUNTIFS($AO$12:$AO$31,C$37,$C$12:$C$31,"B",$E$12:$E$31,"*")</f>
      </c>
      <c r="E39" s="101">
        <f>COUNTIFS($AO$12:$AO$31,E$37,$C$12:$C$31,"A",$E$12:$E$31,"*")</f>
      </c>
      <c r="F39" s="155">
        <f>COUNTIFS($AO$12:$AO$31,E$37,$C$12:$C$31,"B",$E$12:$E$31,"*")</f>
      </c>
      <c r="G39" s="156"/>
      <c r="H39" s="157"/>
      <c r="I39" s="155">
        <f>COUNTIFS($AO$12:$AO$31,I$37,$C$12:$C$31,"A",$E$12:$E$31,"*")</f>
      </c>
      <c r="J39" s="156"/>
      <c r="K39" s="157"/>
      <c r="L39" s="155">
        <f>COUNTIFS($AO$12:$AO$31,I$37,$C$12:$C$31,"B",$E$12:$E$31,"*")</f>
      </c>
      <c r="M39" s="156"/>
      <c r="N39" s="157"/>
      <c r="O39" s="155">
        <f>COUNTIFS($AO$12:$AO$31,O$37,$C$12:$C$31,"A",$E$12:$E$31,"*")</f>
      </c>
      <c r="P39" s="156"/>
      <c r="Q39" s="157"/>
      <c r="R39" s="155">
        <f>COUNTIFS($AO$12:$AO$31,O$37,$C$12:$C$31,"B",$E$12:$E$31,"*")</f>
      </c>
      <c r="S39" s="156"/>
      <c r="T39" s="157"/>
      <c r="U39" s="155">
        <f>COUNTIFS($AO$12:$AO$31,U$37,$C$12:$C$31,"A",$E$12:$E$31,"*")</f>
      </c>
      <c r="V39" s="156"/>
      <c r="W39" s="157"/>
      <c r="X39" s="155">
        <f>COUNTIFS($AO$12:$AO$31,U$37,$C$12:$C$31,"B",$E$12:$E$31,"*")</f>
      </c>
      <c r="Y39" s="156"/>
      <c r="Z39" s="157"/>
      <c r="AA39" s="155">
        <f>COUNTIFS($AO$12:$AO$31,AA$37,$C$12:$C$31,"A",$E$12:$E$31,"*")</f>
      </c>
      <c r="AB39" s="156"/>
      <c r="AC39" s="157"/>
      <c r="AD39" s="155">
        <f>COUNTIFS($AO$12:$AO$31,AA$37,$C$12:$C$31,"B",$E$12:$E$31,"*")</f>
      </c>
      <c r="AE39" s="156"/>
      <c r="AF39" s="157"/>
      <c r="AG39" s="155">
        <f>COUNTIFS($AO$12:$AO$31,AG$37,$C$12:$C$31,"A",$E$12:$E$31,"*")</f>
      </c>
      <c r="AH39" s="156"/>
      <c r="AI39" s="157"/>
      <c r="AJ39" s="155">
        <f>COUNTIFS($AO$12:$AO$31,AG$37,$C$12:$C$31,"B",$E$12:$E$31,"*")</f>
      </c>
      <c r="AK39" s="157"/>
      <c r="AL39" s="101">
        <f>COUNTIFS($AO$12:$AO$31,AL$37,$C$12:$C$31,"A",$E$12:$E$31,"*")</f>
      </c>
      <c r="AM39" s="101">
        <f>COUNTIFS($AO$12:$AO$31,AL$37,$C$12:$C$31,"B",$E$12:$E$31,"*")</f>
      </c>
      <c r="AN39" s="62"/>
    </row>
    <row r="40" spans="1:40" ht="18" customHeight="1" x14ac:dyDescent="0.55000000000000004">
      <c r="A40" s="62"/>
      <c r="B40" s="82" t="s">
        <v>193</v>
      </c>
      <c r="C40" s="101">
        <f>COUNTIFS($AO$12:$AO$31,C$37,$C$12:$C$31,"C",$E$12:$E$31,"*")</f>
      </c>
      <c r="D40" s="101">
        <f>COUNTIFS($AO$12:$AO$31,C$37,$C$12:$C$31,"D",$E$12:$E$31,"*")</f>
      </c>
      <c r="E40" s="101">
        <f>COUNTIFS($AO$12:$AO$31,E$37,$C$12:$C$31,"C",$E$12:$E$31,"*")</f>
      </c>
      <c r="F40" s="155">
        <f>COUNTIFS($AO$12:$AO$31,E$37,$C$12:$C$31,"D",$E$12:$E$31,"*")</f>
      </c>
      <c r="G40" s="156"/>
      <c r="H40" s="157"/>
      <c r="I40" s="155">
        <f>COUNTIFS($AO$12:$AO$31,I$37,$C$12:$C$31,"C",$E$12:$E$31,"*")</f>
      </c>
      <c r="J40" s="156"/>
      <c r="K40" s="157"/>
      <c r="L40" s="155">
        <f>COUNTIFS($AO$12:$AO$31,I$37,$C$12:$C$31,"D",$E$12:$E$31,"*")</f>
      </c>
      <c r="M40" s="156"/>
      <c r="N40" s="157"/>
      <c r="O40" s="155">
        <f>COUNTIFS($AO$12:$AO$31,O$37,$C$12:$C$31,"C",$E$12:$E$31,"*")</f>
      </c>
      <c r="P40" s="156"/>
      <c r="Q40" s="157"/>
      <c r="R40" s="155">
        <f>COUNTIFS($AO$12:$AO$31,O$37,$C$12:$C$31,"D",$E$12:$E$31,"*")</f>
      </c>
      <c r="S40" s="156"/>
      <c r="T40" s="157"/>
      <c r="U40" s="155">
        <f>COUNTIFS($AO$12:$AO$31,U$37,$C$12:$C$31,"C",$E$12:$E$31,"*")</f>
      </c>
      <c r="V40" s="156"/>
      <c r="W40" s="157"/>
      <c r="X40" s="155">
        <f>COUNTIFS($AO$12:$AO$31,U$37,$C$12:$C$31,"D",$E$12:$E$31,"*")</f>
      </c>
      <c r="Y40" s="156"/>
      <c r="Z40" s="157"/>
      <c r="AA40" s="155">
        <f>COUNTIFS($AO$12:$AO$31,AA$37,$C$12:$C$31,"C",$E$12:$E$31,"*")</f>
      </c>
      <c r="AB40" s="156"/>
      <c r="AC40" s="157"/>
      <c r="AD40" s="155">
        <f>COUNTIFS($AO$12:$AO$31,AA$37,$C$12:$C$31,"D",$E$12:$E$31,"*")</f>
      </c>
      <c r="AE40" s="156"/>
      <c r="AF40" s="157"/>
      <c r="AG40" s="155">
        <f>COUNTIFS($AO$12:$AO$31,AG$37,$C$12:$C$31,"C",$E$12:$E$31,"*")</f>
      </c>
      <c r="AH40" s="156"/>
      <c r="AI40" s="157"/>
      <c r="AJ40" s="155">
        <f>COUNTIFS($AO$12:$AO$31,AG$37,$C$12:$C$31,"D",$E$12:$E$31,"*")</f>
      </c>
      <c r="AK40" s="157"/>
      <c r="AL40" s="101">
        <f>COUNTIFS($AO$12:$AO$31,AL$37,$C$12:$C$31,"C",$E$12:$E$31,"*")</f>
      </c>
      <c r="AM40" s="101">
        <f>COUNTIFS($AO$12:$AO$31,AL$37,$C$12:$C$31,"D",$E$12:$E$31,"*")</f>
      </c>
      <c r="AN40" s="62"/>
    </row>
    <row r="41" spans="1:40" ht="25" customHeight="1" x14ac:dyDescent="0.55000000000000004">
      <c r="A41" s="62"/>
      <c r="B41" s="82" t="s">
        <v>194</v>
      </c>
      <c r="C41" s="151">
        <f>IF($AK$3="４週",SUMIFS($AK$12:$AK$31,$AO$12:$AO$31,C37)/4/$AH$6,IF($AK$3="歴月",SUMIFS($AK$12:$AK$31,$AO$12:$AO$31,C37)/$AL$6,"記載する期間を選択してください"))</f>
      </c>
      <c r="D41" s="153"/>
      <c r="E41" s="151">
        <f>IF($AK$3="４週",SUMIFS($AK$12:$AK$31,$AO$12:$AO$31,E37)/4/$AH$6,IF($AK$3="歴月",SUMIFS($AK$12:$AK$31,$AO$12:$AO$31,E37)/$AL$6,"記載する期間を選択してください"))</f>
      </c>
      <c r="F41" s="152"/>
      <c r="G41" s="152"/>
      <c r="H41" s="153"/>
      <c r="I41" s="151">
        <f>IF($AK$3="４週",SUMIFS($AK$12:$AK$31,$AO$12:$AO$31,I37)/4/$AH$6,IF($AK$3="歴月",SUMIFS($AK$12:$AK$31,$AO$12:$AO$31,I37)/$AL$6,"記載する期間を選択してください"))</f>
      </c>
      <c r="J41" s="152"/>
      <c r="K41" s="152"/>
      <c r="L41" s="152"/>
      <c r="M41" s="152"/>
      <c r="N41" s="153"/>
      <c r="O41" s="151">
        <f>IF($AK$3="４週",SUMIFS($AK$12:$AK$31,$AO$12:$AO$31,O37)/4/$AH$6,IF($AK$3="歴月",SUMIFS($AK$12:$AK$31,$AO$12:$AO$31,O37)/$AL$6,"記載する期間を選択してください"))</f>
      </c>
      <c r="P41" s="152"/>
      <c r="Q41" s="152"/>
      <c r="R41" s="152"/>
      <c r="S41" s="152"/>
      <c r="T41" s="153"/>
      <c r="U41" s="151">
        <f>IF($AK$3="４週",SUMIFS($AK$12:$AK$31,$AO$12:$AO$31,U37)/4/$AH$6,IF($AK$3="歴月",SUMIFS($AK$12:$AK$31,$AO$12:$AO$31,U37)/$AL$6,"記載する期間を選択してください"))</f>
      </c>
      <c r="V41" s="152"/>
      <c r="W41" s="152"/>
      <c r="X41" s="152"/>
      <c r="Y41" s="152"/>
      <c r="Z41" s="153"/>
      <c r="AA41" s="151">
        <f>IF($AK$3="４週",SUMIFS($AK$12:$AK$31,$AO$12:$AO$31,AA37)/4/$AH$6,IF($AK$3="歴月",SUMIFS($AK$12:$AK$31,$AO$12:$AO$31,AA37)/$AL$6,"記載する期間を選択してください"))</f>
      </c>
      <c r="AB41" s="152"/>
      <c r="AC41" s="152"/>
      <c r="AD41" s="152"/>
      <c r="AE41" s="152"/>
      <c r="AF41" s="153"/>
      <c r="AG41" s="151">
        <f>IF($AK$3="４週",SUMIFS($AK$12:$AK$31,$AO$12:$AO$31,AG37)/4/$AH$6,IF($AK$3="歴月",SUMIFS($AK$12:$AK$31,$AO$12:$AO$31,AG37)/$AL$6,"記載する期間を選択してください"))</f>
      </c>
      <c r="AH41" s="152"/>
      <c r="AI41" s="152"/>
      <c r="AJ41" s="152"/>
      <c r="AK41" s="153"/>
      <c r="AL41" s="151">
        <f>IF($AK$3="４週",SUMIFS($AK$12:$AK$31,$AO$12:$AO$31,AL37)/4/$AH$6,IF($AK$3="歴月",SUMIFS($AK$12:$AK$31,$AO$12:$AO$31,AL37)/$AL$6,"記載する期間を選択してください"))</f>
      </c>
      <c r="AM41" s="153"/>
      <c r="AN41" s="62"/>
    </row>
    <row r="42" spans="1:40" ht="5.15" customHeight="1" x14ac:dyDescent="0.55000000000000004">
      <c r="A42" s="62"/>
      <c r="B42" s="59"/>
      <c r="C42" s="78">
        <v>2</v>
      </c>
      <c r="D42" s="78"/>
      <c r="E42" s="78">
        <v>3</v>
      </c>
      <c r="F42" s="78"/>
      <c r="G42" s="78"/>
      <c r="H42" s="78"/>
      <c r="I42" s="78">
        <v>4</v>
      </c>
      <c r="J42" s="78"/>
      <c r="K42" s="78"/>
      <c r="L42" s="78"/>
      <c r="M42" s="78"/>
      <c r="N42" s="78"/>
      <c r="O42" s="78">
        <v>5</v>
      </c>
      <c r="P42" s="78"/>
      <c r="Q42" s="78"/>
      <c r="R42" s="78"/>
      <c r="S42" s="78"/>
      <c r="T42" s="78"/>
      <c r="U42" s="78">
        <v>6</v>
      </c>
      <c r="V42" s="78"/>
      <c r="W42" s="78"/>
      <c r="X42" s="78"/>
      <c r="Y42" s="78"/>
      <c r="Z42" s="78"/>
      <c r="AA42" s="78">
        <v>7</v>
      </c>
      <c r="AB42" s="78"/>
      <c r="AC42" s="78"/>
      <c r="AD42" s="78"/>
      <c r="AE42" s="78"/>
      <c r="AF42" s="78"/>
      <c r="AG42" s="78">
        <v>8</v>
      </c>
      <c r="AH42" s="78"/>
      <c r="AI42" s="78"/>
      <c r="AJ42" s="78"/>
      <c r="AK42" s="78"/>
      <c r="AL42" s="78">
        <v>9</v>
      </c>
      <c r="AM42" s="100"/>
      <c r="AN42" s="62"/>
    </row>
    <row r="43" spans="1:40" ht="15" customHeight="1" x14ac:dyDescent="0.55000000000000004">
      <c r="A43" s="60" t="s">
        <v>118</v>
      </c>
      <c r="B43" s="91"/>
      <c r="C43" s="92"/>
      <c r="D43" s="92"/>
      <c r="E43" s="92"/>
      <c r="F43" s="93"/>
      <c r="G43" s="92"/>
      <c r="H43" s="78"/>
      <c r="I43" s="78"/>
      <c r="J43" s="78"/>
      <c r="K43" s="78"/>
      <c r="L43" s="78"/>
      <c r="M43" s="78"/>
      <c r="N43" s="78"/>
      <c r="O43" s="78"/>
      <c r="P43" s="78"/>
      <c r="Q43" s="78"/>
      <c r="R43" s="78">
        <v>6</v>
      </c>
      <c r="S43" s="78"/>
      <c r="T43" s="78"/>
      <c r="U43" s="78"/>
      <c r="V43" s="78"/>
      <c r="W43" s="78"/>
      <c r="X43" s="78">
        <v>7</v>
      </c>
      <c r="Y43" s="78"/>
      <c r="Z43" s="78"/>
      <c r="AA43" s="78"/>
      <c r="AB43" s="78"/>
      <c r="AC43" s="78"/>
      <c r="AD43" s="78">
        <v>8</v>
      </c>
      <c r="AE43" s="78"/>
      <c r="AF43" s="78"/>
      <c r="AG43" s="79"/>
      <c r="AH43" s="79"/>
      <c r="AI43" s="79"/>
      <c r="AJ43" s="79">
        <v>9</v>
      </c>
      <c r="AK43" s="77"/>
      <c r="AL43" s="77"/>
      <c r="AM43" s="62"/>
    </row>
    <row r="44" spans="1:40" s="60" customFormat="1" ht="15" customHeight="1" x14ac:dyDescent="0.55000000000000004">
      <c r="A44" s="60" t="s">
        <v>119</v>
      </c>
      <c r="B44" s="86"/>
      <c r="C44" s="86"/>
      <c r="D44" s="86"/>
      <c r="E44" s="86"/>
      <c r="F44" s="86"/>
      <c r="G44" s="86"/>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row>
    <row r="45" spans="1:40" s="60" customFormat="1" ht="15" customHeight="1" x14ac:dyDescent="0.55000000000000004">
      <c r="A45" s="60" t="s">
        <v>120</v>
      </c>
      <c r="B45" s="86"/>
      <c r="C45" s="86"/>
      <c r="D45" s="86"/>
      <c r="E45" s="86"/>
      <c r="F45" s="86"/>
      <c r="G45" s="86"/>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row>
    <row r="46" spans="1:40" s="60" customFormat="1" ht="15" customHeight="1" x14ac:dyDescent="0.55000000000000004">
      <c r="A46" s="86" t="s">
        <v>306</v>
      </c>
      <c r="C46" s="86"/>
      <c r="D46" s="86"/>
      <c r="E46" s="86"/>
      <c r="F46" s="86"/>
      <c r="G46" s="86"/>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row>
    <row r="47" spans="1:40" s="60" customFormat="1" ht="15" customHeight="1" x14ac:dyDescent="0.55000000000000004">
      <c r="A47" s="60" t="s">
        <v>121</v>
      </c>
      <c r="B47" s="86"/>
      <c r="C47" s="86"/>
      <c r="D47" s="86"/>
      <c r="E47" s="86"/>
      <c r="F47" s="86"/>
      <c r="G47" s="86"/>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row>
    <row r="48" spans="1:40" s="60" customFormat="1" ht="15" customHeight="1" x14ac:dyDescent="0.55000000000000004">
      <c r="A48" s="60" t="s">
        <v>122</v>
      </c>
      <c r="B48" s="86"/>
      <c r="C48" s="86"/>
      <c r="D48" s="86"/>
      <c r="E48" s="86"/>
      <c r="F48" s="86"/>
      <c r="G48" s="86"/>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row>
    <row r="49" spans="1:7" ht="15" customHeight="1" x14ac:dyDescent="0.55000000000000004">
      <c r="A49" s="60" t="s">
        <v>123</v>
      </c>
      <c r="B49" s="94"/>
      <c r="C49" s="60"/>
      <c r="D49" s="60"/>
      <c r="E49" s="60"/>
      <c r="F49" s="60"/>
      <c r="G49" s="60"/>
    </row>
    <row r="50" spans="1:7" ht="15" customHeight="1" x14ac:dyDescent="0.55000000000000004">
      <c r="A50" s="60" t="s">
        <v>124</v>
      </c>
      <c r="B50" s="94"/>
      <c r="C50" s="60"/>
      <c r="D50" s="60"/>
      <c r="E50" s="60"/>
      <c r="F50" s="60"/>
      <c r="G50" s="60"/>
    </row>
    <row r="51" spans="1:7" ht="15" customHeight="1" x14ac:dyDescent="0.55000000000000004">
      <c r="A51" s="60"/>
      <c r="B51" s="75" t="s">
        <v>125</v>
      </c>
      <c r="C51" s="154" t="s">
        <v>126</v>
      </c>
      <c r="D51" s="154"/>
      <c r="E51" s="154"/>
      <c r="F51" s="60"/>
      <c r="G51" s="60"/>
    </row>
    <row r="52" spans="1:7" ht="15" customHeight="1" x14ac:dyDescent="0.55000000000000004">
      <c r="A52" s="60"/>
      <c r="B52" s="97" t="s">
        <v>127</v>
      </c>
      <c r="C52" s="150" t="s">
        <v>128</v>
      </c>
      <c r="D52" s="150"/>
      <c r="E52" s="150"/>
      <c r="F52" s="60"/>
      <c r="G52" s="60"/>
    </row>
    <row r="53" spans="1:7" ht="15" customHeight="1" x14ac:dyDescent="0.55000000000000004">
      <c r="A53" s="60"/>
      <c r="B53" s="97" t="s">
        <v>129</v>
      </c>
      <c r="C53" s="150" t="s">
        <v>130</v>
      </c>
      <c r="D53" s="150"/>
      <c r="E53" s="150"/>
      <c r="F53" s="60"/>
      <c r="G53" s="60"/>
    </row>
    <row r="54" spans="1:7" ht="15" customHeight="1" x14ac:dyDescent="0.55000000000000004">
      <c r="A54" s="60"/>
      <c r="B54" s="97" t="s">
        <v>131</v>
      </c>
      <c r="C54" s="150" t="s">
        <v>132</v>
      </c>
      <c r="D54" s="150"/>
      <c r="E54" s="150"/>
      <c r="F54" s="60"/>
      <c r="G54" s="60"/>
    </row>
    <row r="55" spans="1:7" ht="15" customHeight="1" x14ac:dyDescent="0.55000000000000004">
      <c r="A55" s="60"/>
      <c r="B55" s="97" t="s">
        <v>133</v>
      </c>
      <c r="C55" s="150" t="s">
        <v>134</v>
      </c>
      <c r="D55" s="150"/>
      <c r="E55" s="150"/>
      <c r="F55" s="60"/>
      <c r="G55" s="60"/>
    </row>
    <row r="56" spans="1:7" ht="15" customHeight="1" x14ac:dyDescent="0.55000000000000004">
      <c r="A56" s="60"/>
      <c r="B56" s="60" t="s">
        <v>135</v>
      </c>
      <c r="C56" s="60"/>
      <c r="D56" s="60"/>
      <c r="E56" s="60"/>
      <c r="F56" s="60"/>
      <c r="G56" s="60"/>
    </row>
    <row r="57" spans="1:7" ht="15" customHeight="1" x14ac:dyDescent="0.55000000000000004">
      <c r="A57" s="60"/>
      <c r="B57" s="60" t="s">
        <v>136</v>
      </c>
      <c r="C57" s="60"/>
      <c r="D57" s="60"/>
      <c r="E57" s="60"/>
      <c r="F57" s="60"/>
      <c r="G57" s="60"/>
    </row>
    <row r="58" spans="1:7" ht="15" customHeight="1" x14ac:dyDescent="0.55000000000000004">
      <c r="A58" s="60"/>
      <c r="B58" s="60" t="s">
        <v>137</v>
      </c>
      <c r="C58" s="60"/>
      <c r="D58" s="60"/>
      <c r="E58" s="60"/>
      <c r="F58" s="60"/>
      <c r="G58" s="60"/>
    </row>
    <row r="59" spans="1:7" ht="15" customHeight="1" x14ac:dyDescent="0.55000000000000004">
      <c r="A59" s="60" t="s">
        <v>138</v>
      </c>
      <c r="B59" s="94"/>
      <c r="C59" s="60"/>
      <c r="D59" s="60"/>
      <c r="E59" s="60"/>
      <c r="F59" s="60"/>
      <c r="G59" s="60"/>
    </row>
    <row r="60" spans="1:7" ht="15" customHeight="1" x14ac:dyDescent="0.55000000000000004">
      <c r="A60" s="60" t="s">
        <v>307</v>
      </c>
      <c r="B60" s="94"/>
      <c r="C60" s="60"/>
      <c r="D60" s="60"/>
      <c r="E60" s="60"/>
      <c r="F60" s="60"/>
      <c r="G60" s="60"/>
    </row>
    <row r="61" spans="1:7" ht="15" customHeight="1" x14ac:dyDescent="0.55000000000000004">
      <c r="A61" s="60" t="s">
        <v>140</v>
      </c>
      <c r="B61" s="94"/>
      <c r="C61" s="60"/>
      <c r="D61" s="60"/>
      <c r="E61" s="60"/>
      <c r="F61" s="60"/>
      <c r="G61" s="60"/>
    </row>
    <row r="62" spans="1:7" ht="15" customHeight="1" x14ac:dyDescent="0.55000000000000004">
      <c r="A62" s="60" t="s">
        <v>141</v>
      </c>
      <c r="B62" s="94"/>
      <c r="C62" s="60"/>
      <c r="D62" s="60"/>
      <c r="E62" s="60"/>
      <c r="F62" s="60"/>
      <c r="G62" s="60"/>
    </row>
    <row r="63" spans="1:7" ht="15" customHeight="1" x14ac:dyDescent="0.55000000000000004">
      <c r="A63" s="60" t="s">
        <v>142</v>
      </c>
      <c r="B63" s="94"/>
      <c r="C63" s="60"/>
      <c r="D63" s="60"/>
      <c r="E63" s="60"/>
      <c r="F63" s="60"/>
      <c r="G63" s="60"/>
    </row>
    <row r="64" spans="1:7" ht="15" customHeight="1" x14ac:dyDescent="0.55000000000000004">
      <c r="A64" s="60" t="s">
        <v>143</v>
      </c>
      <c r="B64" s="94"/>
      <c r="C64" s="60"/>
      <c r="D64" s="60"/>
      <c r="E64" s="60"/>
      <c r="F64" s="60"/>
      <c r="G64" s="60"/>
    </row>
    <row r="65" spans="1:7" ht="15" customHeight="1" x14ac:dyDescent="0.55000000000000004">
      <c r="A65" s="60"/>
      <c r="B65" s="60" t="s">
        <v>144</v>
      </c>
      <c r="C65" s="60"/>
      <c r="D65" s="60"/>
      <c r="E65" s="60"/>
      <c r="F65" s="60"/>
      <c r="G65" s="60"/>
    </row>
    <row r="66" spans="1:7" ht="15" customHeight="1" x14ac:dyDescent="0.55000000000000004">
      <c r="A66" s="60"/>
      <c r="B66" s="60" t="s">
        <v>145</v>
      </c>
      <c r="C66" s="60"/>
      <c r="D66" s="60"/>
      <c r="E66" s="60"/>
      <c r="F66" s="60"/>
      <c r="G66" s="60"/>
    </row>
    <row r="67" spans="1:7" ht="15" customHeight="1" x14ac:dyDescent="0.55000000000000004">
      <c r="A67" s="60" t="s">
        <v>146</v>
      </c>
      <c r="B67" s="94"/>
      <c r="C67" s="60"/>
      <c r="D67" s="60"/>
      <c r="E67" s="60"/>
      <c r="F67" s="60"/>
      <c r="G67" s="60"/>
    </row>
    <row r="68" spans="1:7" ht="15" customHeight="1" x14ac:dyDescent="0.55000000000000004">
      <c r="A68" s="60" t="s">
        <v>147</v>
      </c>
      <c r="B68" s="94"/>
      <c r="C68" s="60"/>
      <c r="D68" s="60"/>
      <c r="E68" s="60"/>
      <c r="F68" s="60"/>
      <c r="G68" s="60"/>
    </row>
    <row r="69" spans="1:7" ht="15" customHeight="1" x14ac:dyDescent="0.55000000000000004">
      <c r="A69" s="60" t="s">
        <v>148</v>
      </c>
      <c r="B69" s="94"/>
      <c r="C69" s="60"/>
      <c r="D69" s="60"/>
      <c r="E69" s="60"/>
      <c r="F69" s="60"/>
      <c r="G69" s="60"/>
    </row>
    <row r="70" spans="1:7" ht="15" customHeight="1" x14ac:dyDescent="0.55000000000000004">
      <c r="A70" s="60" t="s">
        <v>149</v>
      </c>
      <c r="B70" s="94"/>
      <c r="C70" s="60"/>
      <c r="D70" s="60"/>
      <c r="E70" s="60"/>
      <c r="F70" s="60"/>
      <c r="G70" s="60"/>
    </row>
    <row r="71" spans="1:7" ht="15" customHeight="1" x14ac:dyDescent="0.55000000000000004">
      <c r="A71" s="60" t="s">
        <v>150</v>
      </c>
      <c r="B71" s="94"/>
      <c r="C71" s="60"/>
      <c r="D71" s="60"/>
      <c r="E71" s="60"/>
      <c r="F71" s="60"/>
      <c r="G71" s="60"/>
    </row>
    <row r="72" spans="1:7" ht="15" customHeight="1" x14ac:dyDescent="0.55000000000000004">
      <c r="A72" s="60" t="s">
        <v>151</v>
      </c>
      <c r="B72" s="94"/>
      <c r="C72" s="60"/>
      <c r="D72" s="60"/>
      <c r="E72" s="60"/>
      <c r="F72" s="60"/>
      <c r="G72" s="60"/>
    </row>
    <row r="73" spans="1:7" ht="15" customHeight="1" x14ac:dyDescent="0.55000000000000004">
      <c r="A73" s="60" t="s">
        <v>152</v>
      </c>
      <c r="B73" s="94"/>
      <c r="C73" s="60"/>
      <c r="D73" s="60"/>
      <c r="E73" s="60"/>
      <c r="F73" s="60"/>
      <c r="G73" s="60"/>
    </row>
    <row r="74" spans="1:7" ht="15" customHeight="1" x14ac:dyDescent="0.55000000000000004">
      <c r="A74" s="60" t="s">
        <v>153</v>
      </c>
      <c r="B74" s="94"/>
      <c r="C74" s="60"/>
      <c r="D74" s="60"/>
      <c r="E74" s="60"/>
      <c r="F74" s="60"/>
      <c r="G74" s="60"/>
    </row>
  </sheetData>
  <mergeCells count="102">
    <mergeCell ref="M2:P2"/>
    <mergeCell ref="Q2:R2"/>
    <mergeCell ref="S2:T2"/>
    <mergeCell ref="U2:V2"/>
    <mergeCell ref="AK2:AN2"/>
    <mergeCell ref="AH6:AJ6"/>
    <mergeCell ref="A8:A11"/>
    <mergeCell ref="C8:C11"/>
    <mergeCell ref="D8:D11"/>
    <mergeCell ref="E8:E11"/>
    <mergeCell ref="F8:AJ8"/>
    <mergeCell ref="F9:L9"/>
    <mergeCell ref="M9:S9"/>
    <mergeCell ref="T9:Z9"/>
    <mergeCell ref="AA9:AG9"/>
    <mergeCell ref="AH9:AJ9"/>
    <mergeCell ref="AK3:AN3"/>
    <mergeCell ref="AK4:AN4"/>
    <mergeCell ref="AK8:AK11"/>
    <mergeCell ref="AK5:AN5"/>
    <mergeCell ref="B8:B9"/>
    <mergeCell ref="B10:B11"/>
    <mergeCell ref="AM17:AN17"/>
    <mergeCell ref="AL8:AL11"/>
    <mergeCell ref="AM8:AN11"/>
    <mergeCell ref="AM12:AN12"/>
    <mergeCell ref="AM13:AN13"/>
    <mergeCell ref="AM14:AN14"/>
    <mergeCell ref="AM15:AN15"/>
    <mergeCell ref="AM16:AN16"/>
    <mergeCell ref="AK1:AN1"/>
    <mergeCell ref="AM29:AN29"/>
    <mergeCell ref="AM18:AN18"/>
    <mergeCell ref="AM19:AN19"/>
    <mergeCell ref="AM20:AN20"/>
    <mergeCell ref="AM21:AN21"/>
    <mergeCell ref="AM22:AN22"/>
    <mergeCell ref="AM23:AN23"/>
    <mergeCell ref="AM24:AN24"/>
    <mergeCell ref="AM25:AN25"/>
    <mergeCell ref="AM26:AN26"/>
    <mergeCell ref="AM27:AN27"/>
    <mergeCell ref="AM28:AN28"/>
    <mergeCell ref="C37:D37"/>
    <mergeCell ref="E37:H37"/>
    <mergeCell ref="I37:N37"/>
    <mergeCell ref="O37:T37"/>
    <mergeCell ref="U37:Z37"/>
    <mergeCell ref="AM30:AN30"/>
    <mergeCell ref="AM31:AN31"/>
    <mergeCell ref="A32:E32"/>
    <mergeCell ref="AM32:AN33"/>
    <mergeCell ref="A33:E33"/>
    <mergeCell ref="AL37:AM37"/>
    <mergeCell ref="AG37:AK37"/>
    <mergeCell ref="F38:H38"/>
    <mergeCell ref="I38:K38"/>
    <mergeCell ref="L38:N38"/>
    <mergeCell ref="O38:Q38"/>
    <mergeCell ref="R38:T38"/>
    <mergeCell ref="U38:W38"/>
    <mergeCell ref="X38:Z38"/>
    <mergeCell ref="AA38:AC38"/>
    <mergeCell ref="AA37:AF37"/>
    <mergeCell ref="AD38:AF38"/>
    <mergeCell ref="AG38:AI38"/>
    <mergeCell ref="AJ38:AK38"/>
    <mergeCell ref="AJ40:AK40"/>
    <mergeCell ref="F39:H39"/>
    <mergeCell ref="I39:K39"/>
    <mergeCell ref="L39:N39"/>
    <mergeCell ref="O39:Q39"/>
    <mergeCell ref="R39:T39"/>
    <mergeCell ref="AJ39:AK39"/>
    <mergeCell ref="F40:H40"/>
    <mergeCell ref="I40:K40"/>
    <mergeCell ref="L40:N40"/>
    <mergeCell ref="O40:Q40"/>
    <mergeCell ref="R40:T40"/>
    <mergeCell ref="U40:W40"/>
    <mergeCell ref="U39:W39"/>
    <mergeCell ref="X39:Z39"/>
    <mergeCell ref="AA39:AC39"/>
    <mergeCell ref="AD39:AF39"/>
    <mergeCell ref="AG39:AI39"/>
    <mergeCell ref="X40:Z40"/>
    <mergeCell ref="AA40:AC40"/>
    <mergeCell ref="AD40:AF40"/>
    <mergeCell ref="AG40:AI40"/>
    <mergeCell ref="C54:E54"/>
    <mergeCell ref="C55:E55"/>
    <mergeCell ref="AA41:AF41"/>
    <mergeCell ref="AG41:AK41"/>
    <mergeCell ref="AL41:AM41"/>
    <mergeCell ref="C51:E51"/>
    <mergeCell ref="C52:E52"/>
    <mergeCell ref="C53:E53"/>
    <mergeCell ref="C41:D41"/>
    <mergeCell ref="E41:H41"/>
    <mergeCell ref="I41:N41"/>
    <mergeCell ref="O41:T41"/>
    <mergeCell ref="U41:Z41"/>
  </mergeCells>
  <phoneticPr fontId="3"/>
  <dataValidations count="5">
    <dataValidation type="list" allowBlank="1" showInputMessage="1" showErrorMessage="1" sqref="C12:C31" xr:uid="{00000000-0002-0000-1800-000000000000}">
      <formula1>"A,B,C,D"</formula1>
    </dataValidation>
    <dataValidation type="list" allowBlank="1" showInputMessage="1" showErrorMessage="1" sqref="AK4:AN4" xr:uid="{00000000-0002-0000-1800-000001000000}">
      <formula1>"予定,実績"</formula1>
    </dataValidation>
    <dataValidation type="list" allowBlank="1" showInputMessage="1" showErrorMessage="1" sqref="AK3:AN3" xr:uid="{00000000-0002-0000-1800-000002000000}">
      <formula1>"４週,歴月"</formula1>
    </dataValidation>
    <dataValidation type="list" allowBlank="1" showInputMessage="1" sqref="B14:B31" xr:uid="{00000000-0002-0000-1800-000003000000}">
      <formula1>INDIRECT($AK$1)</formula1>
    </dataValidation>
    <dataValidation allowBlank="1" showInputMessage="1" sqref="B12:B13" xr:uid="{16667E6A-6BBB-4467-9086-9234FF3BD1FD}"/>
  </dataValidations>
  <printOptions horizontalCentered="1" verticalCentered="1"/>
  <pageMargins left="0.19685039370078741" right="0.19685039370078741" top="0.39370078740157483" bottom="0.19685039370078741" header="0.19685039370078741" footer="0.39370078740157483"/>
  <pageSetup paperSize="9" scale="88" fitToWidth="0" fitToHeight="0" orientation="landscape"/>
  <headerFooter alignWithMargins="0">
    <oddHeader>&amp;L&amp;"ＭＳ ゴシック,標準"&amp;10（参考様式）</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7"/>
  <dimension ref="A1:L32"/>
  <sheetViews>
    <sheetView workbookViewId="0"/>
  </sheetViews>
  <sheetFormatPr defaultRowHeight="18" x14ac:dyDescent="0.55000000000000004"/>
  <cols>
    <col min="1" max="1" width="26.33203125" customWidth="1"/>
    <col min="2" max="2" width="9" customWidth="1"/>
    <col min="3" max="3" width="22" customWidth="1"/>
  </cols>
  <sheetData>
    <row r="1" spans="1:12" x14ac:dyDescent="0.55000000000000004">
      <c r="A1" t="s">
        <v>93</v>
      </c>
      <c r="B1" t="s">
        <v>327</v>
      </c>
      <c r="C1" t="s">
        <v>328</v>
      </c>
      <c r="D1" t="s">
        <v>329</v>
      </c>
      <c r="E1" t="s">
        <v>330</v>
      </c>
      <c r="F1" t="s">
        <v>331</v>
      </c>
      <c r="G1" t="s">
        <v>332</v>
      </c>
      <c r="H1" t="s">
        <v>333</v>
      </c>
      <c r="I1" t="s">
        <v>334</v>
      </c>
      <c r="J1" t="s">
        <v>335</v>
      </c>
      <c r="K1" t="s">
        <v>336</v>
      </c>
    </row>
    <row r="2" spans="1:12" x14ac:dyDescent="0.55000000000000004">
      <c r="A2" t="s">
        <v>337</v>
      </c>
      <c r="B2" t="s">
        <v>157</v>
      </c>
      <c r="C2" t="s">
        <v>158</v>
      </c>
      <c r="D2" t="s">
        <v>159</v>
      </c>
    </row>
    <row r="3" spans="1:12" x14ac:dyDescent="0.55000000000000004">
      <c r="A3" t="s">
        <v>195</v>
      </c>
      <c r="B3" t="s">
        <v>157</v>
      </c>
      <c r="C3" t="s">
        <v>158</v>
      </c>
      <c r="D3" t="s">
        <v>159</v>
      </c>
    </row>
    <row r="4" spans="1:12" x14ac:dyDescent="0.55000000000000004">
      <c r="A4" t="s">
        <v>202</v>
      </c>
      <c r="B4" t="s">
        <v>157</v>
      </c>
      <c r="C4" t="s">
        <v>158</v>
      </c>
      <c r="D4" t="s">
        <v>159</v>
      </c>
    </row>
    <row r="5" spans="1:12" x14ac:dyDescent="0.55000000000000004">
      <c r="A5" t="s">
        <v>205</v>
      </c>
      <c r="B5" t="s">
        <v>157</v>
      </c>
      <c r="C5" t="s">
        <v>158</v>
      </c>
      <c r="D5" t="s">
        <v>159</v>
      </c>
    </row>
    <row r="6" spans="1:12" x14ac:dyDescent="0.55000000000000004">
      <c r="A6" s="126" t="s">
        <v>206</v>
      </c>
      <c r="B6" s="126" t="s">
        <v>157</v>
      </c>
      <c r="C6" s="126" t="s">
        <v>207</v>
      </c>
      <c r="D6" s="126" t="s">
        <v>208</v>
      </c>
      <c r="E6" s="126" t="s">
        <v>209</v>
      </c>
      <c r="F6" s="126" t="s">
        <v>215</v>
      </c>
      <c r="G6" s="126"/>
      <c r="H6" s="126"/>
      <c r="I6" s="126"/>
      <c r="J6" s="126"/>
    </row>
    <row r="7" spans="1:12" x14ac:dyDescent="0.55000000000000004">
      <c r="A7" s="126" t="s">
        <v>217</v>
      </c>
      <c r="B7" s="126" t="s">
        <v>157</v>
      </c>
      <c r="C7" s="126" t="s">
        <v>207</v>
      </c>
      <c r="D7" s="126" t="s">
        <v>208</v>
      </c>
      <c r="E7" s="126" t="s">
        <v>209</v>
      </c>
      <c r="F7" s="126" t="s">
        <v>234</v>
      </c>
      <c r="G7" s="126" t="s">
        <v>338</v>
      </c>
      <c r="H7" s="126" t="s">
        <v>339</v>
      </c>
      <c r="I7" s="126" t="s">
        <v>215</v>
      </c>
      <c r="J7" s="126"/>
    </row>
    <row r="8" spans="1:12" x14ac:dyDescent="0.55000000000000004">
      <c r="A8" s="126" t="s">
        <v>340</v>
      </c>
      <c r="B8" s="126" t="s">
        <v>157</v>
      </c>
      <c r="C8" s="126" t="s">
        <v>215</v>
      </c>
      <c r="D8" s="126"/>
      <c r="E8" s="126"/>
      <c r="F8" s="126"/>
      <c r="G8" s="126"/>
      <c r="H8" s="126"/>
      <c r="I8" s="126"/>
      <c r="J8" s="126"/>
    </row>
    <row r="9" spans="1:12" x14ac:dyDescent="0.55000000000000004">
      <c r="A9" s="126" t="s">
        <v>341</v>
      </c>
      <c r="B9" s="126" t="s">
        <v>157</v>
      </c>
      <c r="C9" s="126" t="s">
        <v>215</v>
      </c>
      <c r="D9" s="126"/>
      <c r="E9" s="126"/>
      <c r="F9" s="126"/>
      <c r="G9" s="126"/>
      <c r="H9" s="126"/>
      <c r="I9" s="126"/>
      <c r="J9" s="126"/>
    </row>
    <row r="10" spans="1:12" x14ac:dyDescent="0.55000000000000004">
      <c r="A10" s="126" t="s">
        <v>342</v>
      </c>
      <c r="B10" s="126" t="s">
        <v>157</v>
      </c>
      <c r="C10" s="126" t="s">
        <v>215</v>
      </c>
      <c r="D10" s="126"/>
      <c r="E10" s="126"/>
      <c r="F10" s="126"/>
      <c r="G10" s="126"/>
      <c r="H10" s="126"/>
      <c r="I10" s="126"/>
      <c r="J10" s="126"/>
    </row>
    <row r="11" spans="1:12" x14ac:dyDescent="0.55000000000000004">
      <c r="A11" s="126" t="s">
        <v>343</v>
      </c>
      <c r="B11" s="126" t="s">
        <v>157</v>
      </c>
      <c r="C11" s="126" t="s">
        <v>158</v>
      </c>
      <c r="D11" s="126" t="s">
        <v>159</v>
      </c>
      <c r="E11" s="126"/>
      <c r="F11" s="126"/>
      <c r="G11" s="126"/>
      <c r="H11" s="126"/>
      <c r="I11" s="126"/>
      <c r="J11" s="126"/>
    </row>
    <row r="12" spans="1:12" x14ac:dyDescent="0.55000000000000004">
      <c r="A12" s="126" t="s">
        <v>263</v>
      </c>
      <c r="B12" s="126" t="s">
        <v>157</v>
      </c>
      <c r="C12" s="126" t="s">
        <v>207</v>
      </c>
      <c r="D12" s="126" t="s">
        <v>264</v>
      </c>
      <c r="E12" s="126" t="s">
        <v>215</v>
      </c>
      <c r="F12" s="126"/>
      <c r="G12" s="126"/>
      <c r="H12" s="126"/>
      <c r="I12" s="126"/>
      <c r="J12" s="126"/>
    </row>
    <row r="13" spans="1:12" x14ac:dyDescent="0.55000000000000004">
      <c r="A13" s="126" t="s">
        <v>270</v>
      </c>
      <c r="B13" s="126" t="s">
        <v>157</v>
      </c>
      <c r="C13" s="126" t="s">
        <v>207</v>
      </c>
      <c r="D13" s="126" t="s">
        <v>264</v>
      </c>
      <c r="E13" s="126"/>
      <c r="F13" s="126"/>
      <c r="G13" s="126"/>
      <c r="H13" s="126"/>
      <c r="I13" s="126"/>
      <c r="J13" s="126"/>
    </row>
    <row r="14" spans="1:12" x14ac:dyDescent="0.55000000000000004">
      <c r="A14" s="126" t="s">
        <v>271</v>
      </c>
      <c r="B14" s="126" t="s">
        <v>157</v>
      </c>
      <c r="C14" s="126" t="s">
        <v>207</v>
      </c>
      <c r="D14" s="126" t="s">
        <v>264</v>
      </c>
      <c r="E14" s="126" t="s">
        <v>215</v>
      </c>
      <c r="F14" s="126" t="s">
        <v>344</v>
      </c>
      <c r="G14" s="126"/>
      <c r="H14" s="126"/>
      <c r="I14" s="126"/>
      <c r="J14" s="126"/>
    </row>
    <row r="15" spans="1:12" x14ac:dyDescent="0.55000000000000004">
      <c r="A15" s="126" t="s">
        <v>273</v>
      </c>
      <c r="B15" s="126" t="s">
        <v>157</v>
      </c>
      <c r="C15" s="126" t="s">
        <v>207</v>
      </c>
      <c r="D15" s="126" t="s">
        <v>208</v>
      </c>
      <c r="E15" s="126" t="s">
        <v>209</v>
      </c>
      <c r="F15" s="126" t="s">
        <v>234</v>
      </c>
      <c r="G15" s="126" t="s">
        <v>338</v>
      </c>
      <c r="H15" s="126" t="s">
        <v>339</v>
      </c>
      <c r="I15" s="126" t="s">
        <v>345</v>
      </c>
      <c r="J15" s="126" t="s">
        <v>346</v>
      </c>
      <c r="K15" t="s">
        <v>215</v>
      </c>
      <c r="L15" s="126"/>
    </row>
    <row r="16" spans="1:12" x14ac:dyDescent="0.55000000000000004">
      <c r="A16" s="126" t="s">
        <v>233</v>
      </c>
      <c r="B16" s="126" t="s">
        <v>157</v>
      </c>
      <c r="C16" s="126" t="s">
        <v>207</v>
      </c>
      <c r="D16" s="126" t="s">
        <v>209</v>
      </c>
      <c r="E16" s="126" t="s">
        <v>234</v>
      </c>
      <c r="F16" s="126" t="s">
        <v>338</v>
      </c>
      <c r="G16" s="126" t="s">
        <v>339</v>
      </c>
      <c r="H16" s="126" t="s">
        <v>215</v>
      </c>
      <c r="I16" s="126"/>
      <c r="J16" s="126"/>
    </row>
    <row r="17" spans="1:11" x14ac:dyDescent="0.55000000000000004">
      <c r="A17" s="126" t="s">
        <v>236</v>
      </c>
      <c r="B17" s="126" t="s">
        <v>157</v>
      </c>
      <c r="C17" s="126" t="s">
        <v>207</v>
      </c>
      <c r="D17" s="126" t="s">
        <v>237</v>
      </c>
      <c r="E17" s="126" t="s">
        <v>215</v>
      </c>
      <c r="F17" s="126"/>
      <c r="G17" s="126"/>
      <c r="H17" s="126"/>
      <c r="I17" s="126"/>
      <c r="J17" s="126"/>
    </row>
    <row r="18" spans="1:11" x14ac:dyDescent="0.55000000000000004">
      <c r="A18" s="126" t="s">
        <v>347</v>
      </c>
      <c r="B18" s="126" t="s">
        <v>157</v>
      </c>
      <c r="C18" s="126" t="s">
        <v>242</v>
      </c>
      <c r="D18" s="126"/>
      <c r="E18" s="126"/>
      <c r="F18" s="126"/>
      <c r="G18" s="126"/>
      <c r="H18" s="126"/>
      <c r="I18" s="126"/>
      <c r="J18" s="126"/>
    </row>
    <row r="19" spans="1:11" x14ac:dyDescent="0.55000000000000004">
      <c r="A19" s="126" t="s">
        <v>243</v>
      </c>
      <c r="B19" s="126" t="s">
        <v>157</v>
      </c>
      <c r="C19" s="126" t="s">
        <v>207</v>
      </c>
      <c r="D19" s="126" t="s">
        <v>246</v>
      </c>
      <c r="E19" s="126" t="s">
        <v>247</v>
      </c>
      <c r="F19" s="126" t="s">
        <v>253</v>
      </c>
      <c r="G19" s="126"/>
      <c r="H19" s="126"/>
      <c r="I19" s="126"/>
      <c r="J19" s="126"/>
    </row>
    <row r="20" spans="1:11" x14ac:dyDescent="0.55000000000000004">
      <c r="A20" s="126" t="s">
        <v>251</v>
      </c>
      <c r="B20" s="126" t="s">
        <v>157</v>
      </c>
      <c r="C20" s="126" t="s">
        <v>207</v>
      </c>
      <c r="D20" s="126" t="s">
        <v>247</v>
      </c>
      <c r="E20" s="126" t="s">
        <v>253</v>
      </c>
      <c r="F20" s="126"/>
      <c r="G20" s="126"/>
      <c r="H20" s="126"/>
      <c r="I20" s="126"/>
      <c r="J20" s="126"/>
    </row>
    <row r="21" spans="1:11" x14ac:dyDescent="0.55000000000000004">
      <c r="A21" s="126" t="s">
        <v>254</v>
      </c>
      <c r="B21" s="126" t="s">
        <v>157</v>
      </c>
      <c r="C21" s="126" t="s">
        <v>207</v>
      </c>
      <c r="D21" s="126" t="s">
        <v>247</v>
      </c>
      <c r="E21" s="126" t="s">
        <v>253</v>
      </c>
      <c r="F21" s="126"/>
      <c r="G21" s="126"/>
      <c r="H21" s="126"/>
      <c r="I21" s="126"/>
      <c r="J21" s="126"/>
    </row>
    <row r="22" spans="1:11" x14ac:dyDescent="0.55000000000000004">
      <c r="A22" s="126" t="s">
        <v>291</v>
      </c>
      <c r="B22" s="126" t="s">
        <v>157</v>
      </c>
      <c r="C22" s="126" t="s">
        <v>159</v>
      </c>
      <c r="D22" s="126"/>
      <c r="E22" s="126"/>
      <c r="F22" s="126"/>
      <c r="G22" s="126"/>
      <c r="H22" s="126"/>
      <c r="I22" s="126"/>
      <c r="J22" s="126"/>
    </row>
    <row r="23" spans="1:11" x14ac:dyDescent="0.55000000000000004">
      <c r="A23" s="126" t="s">
        <v>255</v>
      </c>
      <c r="B23" s="126" t="s">
        <v>157</v>
      </c>
      <c r="C23" s="126" t="s">
        <v>207</v>
      </c>
      <c r="D23" s="126" t="s">
        <v>256</v>
      </c>
      <c r="E23" s="126"/>
      <c r="F23" s="126"/>
      <c r="G23" s="126"/>
      <c r="H23" s="126"/>
      <c r="I23" s="126"/>
      <c r="J23" s="126"/>
    </row>
    <row r="24" spans="1:11" x14ac:dyDescent="0.55000000000000004">
      <c r="A24" s="126" t="s">
        <v>258</v>
      </c>
      <c r="B24" s="126" t="s">
        <v>157</v>
      </c>
      <c r="C24" s="126" t="s">
        <v>207</v>
      </c>
      <c r="D24" s="126" t="s">
        <v>259</v>
      </c>
      <c r="E24" s="126"/>
      <c r="F24" s="126"/>
      <c r="G24" s="126"/>
      <c r="H24" s="126"/>
      <c r="I24" s="126"/>
      <c r="J24" s="126"/>
    </row>
    <row r="25" spans="1:11" x14ac:dyDescent="0.55000000000000004">
      <c r="A25" s="126" t="s">
        <v>292</v>
      </c>
      <c r="B25" s="126" t="s">
        <v>157</v>
      </c>
      <c r="C25" s="126" t="s">
        <v>293</v>
      </c>
      <c r="D25" s="126" t="s">
        <v>294</v>
      </c>
      <c r="E25" s="126"/>
      <c r="F25" s="126"/>
      <c r="G25" s="126"/>
      <c r="H25" s="126"/>
      <c r="I25" s="126"/>
      <c r="J25" s="126"/>
    </row>
    <row r="26" spans="1:11" x14ac:dyDescent="0.55000000000000004">
      <c r="A26" s="126" t="s">
        <v>299</v>
      </c>
      <c r="B26" s="126" t="s">
        <v>157</v>
      </c>
      <c r="C26" s="126" t="s">
        <v>312</v>
      </c>
      <c r="D26" s="126" t="s">
        <v>302</v>
      </c>
      <c r="E26" s="126" t="s">
        <v>303</v>
      </c>
      <c r="F26" s="126" t="s">
        <v>348</v>
      </c>
      <c r="G26" s="126" t="s">
        <v>209</v>
      </c>
      <c r="H26" s="126" t="s">
        <v>304</v>
      </c>
      <c r="I26" s="126"/>
      <c r="J26" s="126"/>
    </row>
    <row r="27" spans="1:11" x14ac:dyDescent="0.55000000000000004">
      <c r="A27" s="126" t="s">
        <v>308</v>
      </c>
      <c r="B27" s="126" t="s">
        <v>157</v>
      </c>
      <c r="C27" s="126" t="s">
        <v>312</v>
      </c>
      <c r="D27" s="126" t="s">
        <v>309</v>
      </c>
      <c r="E27" s="126" t="s">
        <v>209</v>
      </c>
      <c r="F27" s="126" t="s">
        <v>302</v>
      </c>
      <c r="G27" s="126" t="s">
        <v>303</v>
      </c>
      <c r="H27" s="126" t="s">
        <v>348</v>
      </c>
      <c r="I27" s="126" t="s">
        <v>304</v>
      </c>
      <c r="J27" s="126"/>
    </row>
    <row r="28" spans="1:11" x14ac:dyDescent="0.55000000000000004">
      <c r="A28" s="126" t="s">
        <v>310</v>
      </c>
      <c r="B28" s="126" t="s">
        <v>157</v>
      </c>
      <c r="C28" s="126" t="s">
        <v>312</v>
      </c>
      <c r="D28" s="126" t="s">
        <v>309</v>
      </c>
      <c r="E28" s="126" t="s">
        <v>302</v>
      </c>
      <c r="F28" s="126" t="s">
        <v>303</v>
      </c>
      <c r="G28" s="126" t="s">
        <v>349</v>
      </c>
      <c r="H28" s="126" t="s">
        <v>350</v>
      </c>
      <c r="I28" s="126" t="s">
        <v>348</v>
      </c>
      <c r="J28" s="126" t="s">
        <v>209</v>
      </c>
      <c r="K28" s="126" t="s">
        <v>304</v>
      </c>
    </row>
    <row r="29" spans="1:11" x14ac:dyDescent="0.55000000000000004">
      <c r="A29" s="126" t="s">
        <v>314</v>
      </c>
      <c r="B29" s="126" t="s">
        <v>157</v>
      </c>
      <c r="C29" s="126" t="s">
        <v>312</v>
      </c>
      <c r="D29" s="126" t="s">
        <v>313</v>
      </c>
      <c r="E29" s="126"/>
      <c r="F29" s="126"/>
      <c r="G29" s="126"/>
      <c r="H29" s="126"/>
      <c r="I29" s="126"/>
      <c r="J29" s="126"/>
      <c r="K29" s="126"/>
    </row>
    <row r="30" spans="1:11" x14ac:dyDescent="0.55000000000000004">
      <c r="A30" s="126" t="s">
        <v>311</v>
      </c>
      <c r="B30" s="126" t="s">
        <v>157</v>
      </c>
      <c r="C30" s="126" t="s">
        <v>312</v>
      </c>
      <c r="D30" s="126" t="s">
        <v>313</v>
      </c>
      <c r="E30" s="126"/>
      <c r="F30" s="126"/>
      <c r="G30" s="126"/>
      <c r="H30" s="126"/>
      <c r="I30" s="126"/>
      <c r="J30" s="126"/>
      <c r="K30" s="126"/>
    </row>
    <row r="31" spans="1:11" x14ac:dyDescent="0.55000000000000004">
      <c r="A31" s="126" t="s">
        <v>315</v>
      </c>
      <c r="B31" s="126" t="s">
        <v>157</v>
      </c>
      <c r="C31" s="126" t="s">
        <v>312</v>
      </c>
      <c r="D31" s="126" t="s">
        <v>208</v>
      </c>
      <c r="E31" s="126" t="s">
        <v>209</v>
      </c>
      <c r="F31" s="126" t="s">
        <v>302</v>
      </c>
      <c r="G31" s="126" t="s">
        <v>303</v>
      </c>
      <c r="H31" s="126" t="s">
        <v>349</v>
      </c>
      <c r="I31" s="126" t="s">
        <v>350</v>
      </c>
      <c r="J31" s="126" t="s">
        <v>316</v>
      </c>
      <c r="K31" s="126"/>
    </row>
    <row r="32" spans="1:11" x14ac:dyDescent="0.55000000000000004">
      <c r="A32" s="126" t="s">
        <v>323</v>
      </c>
      <c r="B32" s="126" t="s">
        <v>312</v>
      </c>
      <c r="C32" s="126" t="s">
        <v>208</v>
      </c>
      <c r="D32" s="126" t="s">
        <v>209</v>
      </c>
      <c r="E32" s="126" t="s">
        <v>302</v>
      </c>
      <c r="F32" s="126" t="s">
        <v>303</v>
      </c>
      <c r="G32" s="126" t="s">
        <v>316</v>
      </c>
      <c r="H32" s="126" t="s">
        <v>351</v>
      </c>
      <c r="I32" s="126" t="s">
        <v>352</v>
      </c>
      <c r="J32" s="126"/>
    </row>
  </sheetData>
  <phoneticPr fontId="3"/>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2026-10-14T16:50:53Z</dcterms:created>
  <dcterms:modified xsi:type="dcterms:W3CDTF">2026-10-14T16:50:53Z</dcterms:modified>
</cp:coreProperties>
</file>